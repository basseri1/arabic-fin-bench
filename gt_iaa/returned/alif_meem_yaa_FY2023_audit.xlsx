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ownloads/"/>
    </mc:Choice>
  </mc:AlternateContent>
  <xr:revisionPtr revIDLastSave="0" documentId="13_ncr:1_{2C71B27D-4956-994C-94FC-BED81988C755}" xr6:coauthVersionLast="47" xr6:coauthVersionMax="47" xr10:uidLastSave="{00000000-0000-0000-0000-000000000000}"/>
  <bookViews>
    <workbookView xWindow="0" yWindow="660" windowWidth="30240" windowHeight="17360" activeTab="3" xr2:uid="{00000000-000D-0000-FFFF-FFFF00000000}"/>
  </bookViews>
  <sheets>
    <sheet name="README" sheetId="1" r:id="rId1"/>
    <sheet name="filing" sheetId="2" r:id="rId2"/>
    <sheet name="1_financial_position" sheetId="3" r:id="rId3"/>
    <sheet name="2_income_and_comprehensive_inco" sheetId="4" r:id="rId4"/>
    <sheet name="3_changes_in_equity" sheetId="5" r:id="rId5"/>
    <sheet name="4_cash_flow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9" i="6" l="1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</calcChain>
</file>

<file path=xl/sharedStrings.xml><?xml version="1.0" encoding="utf-8"?>
<sst xmlns="http://schemas.openxmlformats.org/spreadsheetml/2006/main" count="665" uniqueCount="216">
  <si>
    <t>Ground-truth audit — alif_meem_yaa_FY2023. Full instructions: README.md in the packet.</t>
  </si>
  <si>
    <t>تدقيق البيانات المرجعية — اكتب الأرقام كما هي مطبوعة في الصفحات، دون الرجوع إلى أي نسخة سابقة.</t>
  </si>
  <si>
    <t/>
  </si>
  <si>
    <t>1. On the 'filing' sheet, write your name in 'annotator'.</t>
  </si>
  <si>
    <t>2. Each statement sheet already has the rows, labels, note references, column headers and periods. The figure cells are empty.</t>
  </si>
  <si>
    <t>3. Type every figure from the page images (pages/ folder) or the PDF (filings/ folder), exactly as printed:</t>
  </si>
  <si>
    <t xml:space="preserve">   Western digits; (1,234) or -1234 for a negative; - for a printed dash; leave a cell empty when nothing is printed;</t>
  </si>
  <si>
    <t xml:space="preserve">   a decimal point, never a comma, for decimals (0.86, not 0,86); never rescale (thousands stay thousands).</t>
  </si>
  <si>
    <t>4. Do not insert, delete or move rows or columns. If a printed line is missing, add it below the last row, with its</t>
  </si>
  <si>
    <t xml:space="preserve">   kind, label and figures, and write MISSING ROW in the comment column.</t>
  </si>
  <si>
    <t>5. If a label, note reference, header or period differs from the page, write the printed version in the comment</t>
  </si>
  <si>
    <t xml:space="preserve">   column, starting with LABEL:, NOTE:, HEADER: or PERIOD:.</t>
  </si>
  <si>
    <t>6. The check column turns green when a total adds up. If it stays red, re-read the figures; if the page itself</t>
  </si>
  <si>
    <t xml:space="preserve">   does not add up, keep what is printed and write PRINTED in the comment column.</t>
  </si>
  <si>
    <t>7. Note your start and end times in time_log.csv.</t>
  </si>
  <si>
    <t>field</t>
  </si>
  <si>
    <t>value</t>
  </si>
  <si>
    <t>help</t>
  </si>
  <si>
    <t>filing_id</t>
  </si>
  <si>
    <t>alif_meem_yaa_FY2023</t>
  </si>
  <si>
    <t>do not change</t>
  </si>
  <si>
    <t>entity</t>
  </si>
  <si>
    <t>Alif Meem Yaa Medical Supplies &amp; Equipment</t>
  </si>
  <si>
    <t>source_url</t>
  </si>
  <si>
    <t>https://www.saudiexchange.sa/Resources/fsPdf/2684_0_2024-03-31_21-48-58_Ar.pdf</t>
  </si>
  <si>
    <t>sha256</t>
  </si>
  <si>
    <t>2327b2e496faf5d6dfa5d68f6097d4cb049ce81dc7593233c573d8ab01982425</t>
  </si>
  <si>
    <t>fingerprint of the exact PDF annotated</t>
  </si>
  <si>
    <t>period_end</t>
  </si>
  <si>
    <t>2023-12-31</t>
  </si>
  <si>
    <t>YYYY-MM-DD, e.g. 2024-12-31</t>
  </si>
  <si>
    <t>report</t>
  </si>
  <si>
    <t>annual</t>
  </si>
  <si>
    <t>annual / interim</t>
  </si>
  <si>
    <t>consolidated</t>
  </si>
  <si>
    <t>no</t>
  </si>
  <si>
    <t>yes / no</t>
  </si>
  <si>
    <t>digits</t>
  </si>
  <si>
    <t>arabic-indic</t>
  </si>
  <si>
    <t>arabic-indic / western / mixed — as printed</t>
  </si>
  <si>
    <t>annotator</t>
  </si>
  <si>
    <t>who drafted the figures (the AI draft, or your name)</t>
  </si>
  <si>
    <t>verified_by</t>
  </si>
  <si>
    <t>person who checked every figure against the page image</t>
  </si>
  <si>
    <t>comment</t>
  </si>
  <si>
    <t>type</t>
  </si>
  <si>
    <t>financial_position</t>
  </si>
  <si>
    <t>title_ar</t>
  </si>
  <si>
    <t>قائمة المركز المالي</t>
  </si>
  <si>
    <t>pages</t>
  </si>
  <si>
    <t>6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</si>
  <si>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</si>
  <si>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</si>
  <si>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</si>
  <si>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</si>
  <si>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</si>
  <si>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</si>
  <si>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</si>
  <si>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</si>
  <si>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t>31 ديسمبر 2023م</t>
  </si>
  <si>
    <t>31 ديسمبر 2022م</t>
  </si>
  <si>
    <t>sum_of (rows)</t>
  </si>
  <si>
    <t>check</t>
  </si>
  <si>
    <t>period →</t>
  </si>
  <si>
    <t>2022-12-31</t>
  </si>
  <si>
    <t>currency →</t>
  </si>
  <si>
    <t>section</t>
  </si>
  <si>
    <t>الموجودات</t>
  </si>
  <si>
    <t>item</t>
  </si>
  <si>
    <t>الممتلكات والمعدات</t>
  </si>
  <si>
    <t>5</t>
  </si>
  <si>
    <t>موجودات حق الاستخدام</t>
  </si>
  <si>
    <t>الذمم المدينة لمبيعات التقسيط - الجزء غير المتداول</t>
  </si>
  <si>
    <t>7</t>
  </si>
  <si>
    <t>subtotal</t>
  </si>
  <si>
    <t>الموجودات غير المتداولة</t>
  </si>
  <si>
    <t>11,12,13</t>
  </si>
  <si>
    <t>المخزون</t>
  </si>
  <si>
    <t>8</t>
  </si>
  <si>
    <t>ذمم مدينة لمبيعات التقسيط - الجزء المتداول</t>
  </si>
  <si>
    <t>الذمم المدينة التجارية</t>
  </si>
  <si>
    <t>9</t>
  </si>
  <si>
    <t>المدفوعات مقدماً والموجودات المتداولة الأخرى</t>
  </si>
  <si>
    <t>10</t>
  </si>
  <si>
    <t>النقد وما في حكمه</t>
  </si>
  <si>
    <t>11</t>
  </si>
  <si>
    <t>الموجودات المتداولة</t>
  </si>
  <si>
    <t>15,16,17,18,19</t>
  </si>
  <si>
    <t>total</t>
  </si>
  <si>
    <t>إجمالي الموجودات</t>
  </si>
  <si>
    <t>14,20</t>
  </si>
  <si>
    <t>حقوق الملكية والمطلوبات</t>
  </si>
  <si>
    <t>حقوق الملكية</t>
  </si>
  <si>
    <t>رأس المال</t>
  </si>
  <si>
    <t>12</t>
  </si>
  <si>
    <t>الاحتياطيات</t>
  </si>
  <si>
    <t>13</t>
  </si>
  <si>
    <t>الأرباح المبقاة</t>
  </si>
  <si>
    <t>إجمالي حقوق الملكية</t>
  </si>
  <si>
    <t>24,25,26</t>
  </si>
  <si>
    <t>المطلوبات</t>
  </si>
  <si>
    <t>منافع الموظفين</t>
  </si>
  <si>
    <t>14</t>
  </si>
  <si>
    <t>مطلوبات عقود - الجزء غير المتداول</t>
  </si>
  <si>
    <t>التزامات عقود إيجار - الجزء غير المتداول</t>
  </si>
  <si>
    <t>المطلوبات غير المتداولة</t>
  </si>
  <si>
    <t>29,30,31</t>
  </si>
  <si>
    <t>الذمم الدائنة التجارية</t>
  </si>
  <si>
    <t>-</t>
  </si>
  <si>
    <t>مطلوبات عقود - الجزء المتداول</t>
  </si>
  <si>
    <t>المصروفات المستحقة والمطلوبات المتداولة الأخرى</t>
  </si>
  <si>
    <t>15</t>
  </si>
  <si>
    <t>التزامات عقود إيجار - الجزء المتداول</t>
  </si>
  <si>
    <t>الزكاة المستحقة</t>
  </si>
  <si>
    <t>17</t>
  </si>
  <si>
    <t>المطلوبات المتداولة</t>
  </si>
  <si>
    <t>33,34,35,36,37</t>
  </si>
  <si>
    <t>إجمالي المطلوبات</t>
  </si>
  <si>
    <t>32,38</t>
  </si>
  <si>
    <t>إجمالي حقوق الملكية والمطلوبات</t>
  </si>
  <si>
    <t>27,39</t>
  </si>
  <si>
    <t>income_and_comprehensive_income</t>
  </si>
  <si>
    <t>قائمة الربح أو الخسارة والدخل الشامل الآخر</t>
  </si>
  <si>
    <t>2023م</t>
  </si>
  <si>
    <t>2022م</t>
  </si>
  <si>
    <t>الإيرادات</t>
  </si>
  <si>
    <t>18</t>
  </si>
  <si>
    <t>تكلفة الإيرادات</t>
  </si>
  <si>
    <t>19</t>
  </si>
  <si>
    <t>مجمل الربح</t>
  </si>
  <si>
    <t>10,11</t>
  </si>
  <si>
    <t>مصروفات البيع والتسويق</t>
  </si>
  <si>
    <t>20</t>
  </si>
  <si>
    <t>المصروفات العمومية والإدارية</t>
  </si>
  <si>
    <t>21</t>
  </si>
  <si>
    <t>الانخفاض في القيمة الذمم المدينة التجارية - مخصص للخسائر الائتمانية المتوقعة</t>
  </si>
  <si>
    <t>الانخفاض في القيمة على الذمم المدينة لمبيعات الأقساط - مخصص خسائر ائتمانية متوقعة</t>
  </si>
  <si>
    <t>الإيرادات الأخرى</t>
  </si>
  <si>
    <t>الربح التشغيلي</t>
  </si>
  <si>
    <t>12,13,14,15,16,17</t>
  </si>
  <si>
    <t>التكلفة التمويلية</t>
  </si>
  <si>
    <t>22</t>
  </si>
  <si>
    <t>إيرادات تمويلية</t>
  </si>
  <si>
    <t>23</t>
  </si>
  <si>
    <t>الربح قبل الزكاة</t>
  </si>
  <si>
    <t>18,19,20</t>
  </si>
  <si>
    <t>الزكاة</t>
  </si>
  <si>
    <t>صافي ربح السنة</t>
  </si>
  <si>
    <t>21,22</t>
  </si>
  <si>
    <t>الدخل / (الخسارة) الشاملة الأخرى</t>
  </si>
  <si>
    <t>بنود لن يتم إعادة تصنيفها إلى قائمة الربح أو الخسارة في الفترات اللاحقة:</t>
  </si>
  <si>
    <t>التغير في قيمة التزام المنافع المحددة</t>
  </si>
  <si>
    <t>الربح / (الخسارة) الشاملة الأخرى للسنة</t>
  </si>
  <si>
    <t>26</t>
  </si>
  <si>
    <t>إجمالي الدخل الشامل للسنة</t>
  </si>
  <si>
    <t>23,27</t>
  </si>
  <si>
    <t>ربحية السهم:</t>
  </si>
  <si>
    <t>ربحية السهم الأساسية والمخفضة (بالريال السعودي)</t>
  </si>
  <si>
    <t>24</t>
  </si>
  <si>
    <t>riyals per share</t>
  </si>
  <si>
    <t>changes_in_equity</t>
  </si>
  <si>
    <t>قائمة التغيرات في حقوق الملكية</t>
  </si>
  <si>
    <t>الإجمالي</t>
  </si>
  <si>
    <t>الرصيد في 1 يناير 2023م</t>
  </si>
  <si>
    <t>إجمالي الدخل الشامل</t>
  </si>
  <si>
    <t>الخسارة الشاملة الأخرى</t>
  </si>
  <si>
    <t>12,13</t>
  </si>
  <si>
    <t>المعاملات مع مساهمي الشركة</t>
  </si>
  <si>
    <t>توزيعات أرباح مدفوعة (راجع الإيضاح 25)</t>
  </si>
  <si>
    <t>معاملات مع المساهمين</t>
  </si>
  <si>
    <t>16</t>
  </si>
  <si>
    <t>الرصيد كما في 31 ديسمبر 2023م</t>
  </si>
  <si>
    <t>10,14,17</t>
  </si>
  <si>
    <t>الرصيد في 1 يناير 2022م</t>
  </si>
  <si>
    <t>تحويل احتياطي نظامي</t>
  </si>
  <si>
    <t>25,26</t>
  </si>
  <si>
    <t>الرصيد كما في 31 ديسمبر 2022م</t>
  </si>
  <si>
    <t>19,23,27</t>
  </si>
  <si>
    <t>cash_flows</t>
  </si>
  <si>
    <t>قائمة التدفقات النقدية</t>
  </si>
  <si>
    <t>الأنشطة التشغيلية:</t>
  </si>
  <si>
    <t>التعديلات للبنود غير المالية:</t>
  </si>
  <si>
    <t>استهلاك - ممتلكات ومعدات</t>
  </si>
  <si>
    <t>استهلاك - موجودات حق استخدام</t>
  </si>
  <si>
    <t>مخصص خسارة ائتمانية متوقعة - الذمم المدينة لمبيعات الأقساط</t>
  </si>
  <si>
    <t>مخصص مخزون بطيء الحركة</t>
  </si>
  <si>
    <t>مخصص الخسائر الائتمانية المتوقعة - الذمم المدينة التجارية</t>
  </si>
  <si>
    <t>مخصص لمنافع الموظفين</t>
  </si>
  <si>
    <t>إيرادات الفائدة</t>
  </si>
  <si>
    <t>11,13,14,15,16,17,18,19,20</t>
  </si>
  <si>
    <t>التغيرات في رأس المال العامل:</t>
  </si>
  <si>
    <t>الذمم المدينة لمبيعات التقسيط</t>
  </si>
  <si>
    <t>المستحق للأطراف ذات العلاقة</t>
  </si>
  <si>
    <t>مطلوبات العقود</t>
  </si>
  <si>
    <t>النقد الناتج من الأنشطة التشغيلية</t>
  </si>
  <si>
    <t>21,23,24,25,26,27,28,29,30</t>
  </si>
  <si>
    <t>الزكاة المدفوعة</t>
  </si>
  <si>
    <t>منافع موظفين مدفوعة</t>
  </si>
  <si>
    <t>صافي النقد الناتج من الأنشطة التشغيلية</t>
  </si>
  <si>
    <t>31,32,33</t>
  </si>
  <si>
    <t>الأنشطة الاستثمارية:</t>
  </si>
  <si>
    <t>شراء ممتلكات ومعدات</t>
  </si>
  <si>
    <t>صافي النقد المستخدم في الأنشطة الاستثمارية</t>
  </si>
  <si>
    <t>36</t>
  </si>
  <si>
    <t>الأنشطة التمويلية:</t>
  </si>
  <si>
    <t>المسدد من المبلغ الأصلي لعقود الإيجار</t>
  </si>
  <si>
    <t>توزيعات الأرباح المدفوعة</t>
  </si>
  <si>
    <t>25</t>
  </si>
  <si>
    <t>صافي النقد المستخدم في الأنشطة التمويلية</t>
  </si>
  <si>
    <t>39,40</t>
  </si>
  <si>
    <t>صافي الزيادة في النقد وما في حكمه</t>
  </si>
  <si>
    <t>34,37,41</t>
  </si>
  <si>
    <t>النقد وما في حكمه في بداية السنة</t>
  </si>
  <si>
    <t>النقد وما في حكمه في نهاية السنة</t>
  </si>
  <si>
    <t>42,43</t>
  </si>
  <si>
    <t xml:space="preserve">independent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</si>
</sst>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4298"/>
      </patternFill>
    </fill>
    <fill>
      <patternFill patternType="solid">
        <fgColor rgb="FF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8"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baseColWidth="10" defaultColWidth="8.83203125" defaultRowHeight="15" x14ac:dyDescent="0.2"/>
  <cols>
    <col min="1" max="1" width="125" customWidth="1"/>
  </cols>
  <sheetData>
    <row r="1" spans="1:1" ht="16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" customWidth="1"/>
    <col min="2" max="2" width="70" customWidth="1"/>
    <col min="3" max="3" width="44" customWidth="1"/>
  </cols>
  <sheetData>
    <row r="1" spans="1:3" x14ac:dyDescent="0.2">
      <c r="A1" s="2" t="s">
        <v>15</v>
      </c>
      <c r="B1" s="2" t="s">
        <v>16</v>
      </c>
      <c r="C1" s="2" t="s">
        <v>17</v>
      </c>
    </row>
    <row r="2" spans="1:3" x14ac:dyDescent="0.2">
      <c r="A2" t="s">
        <v>18</v>
      </c>
      <c r="B2" t="s">
        <v>19</v>
      </c>
      <c r="C2" t="s">
        <v>20</v>
      </c>
    </row>
    <row r="3" spans="1:3" x14ac:dyDescent="0.2">
      <c r="A3" t="s">
        <v>21</v>
      </c>
      <c r="B3" t="s">
        <v>22</v>
      </c>
      <c r="C3" t="s">
        <v>2</v>
      </c>
    </row>
    <row r="4" spans="1:3" x14ac:dyDescent="0.2">
      <c r="A4" t="s">
        <v>23</v>
      </c>
      <c r="B4" t="s">
        <v>24</v>
      </c>
      <c r="C4" t="s">
        <v>2</v>
      </c>
    </row>
    <row r="5" spans="1:3" x14ac:dyDescent="0.2">
      <c r="A5" t="s">
        <v>25</v>
      </c>
      <c r="B5" t="s">
        <v>26</v>
      </c>
      <c r="C5" t="s">
        <v>27</v>
      </c>
    </row>
    <row r="6" spans="1:3" x14ac:dyDescent="0.2">
      <c r="A6" t="s">
        <v>28</v>
      </c>
      <c r="B6" t="s">
        <v>29</v>
      </c>
      <c r="C6" t="s">
        <v>30</v>
      </c>
    </row>
    <row r="7" spans="1:3" x14ac:dyDescent="0.2">
      <c r="A7" t="s">
        <v>31</v>
      </c>
      <c r="B7" t="s">
        <v>32</v>
      </c>
      <c r="C7" t="s">
        <v>33</v>
      </c>
    </row>
    <row r="8" spans="1:3" x14ac:dyDescent="0.2">
      <c r="A8" t="s">
        <v>34</v>
      </c>
      <c r="B8" t="s">
        <v>35</v>
      </c>
      <c r="C8" t="s">
        <v>36</v>
      </c>
    </row>
    <row r="9" spans="1:3" x14ac:dyDescent="0.2">
      <c r="A9" t="s">
        <v>37</v>
      </c>
      <c r="B9" t="s">
        <v>38</v>
      </c>
      <c r="C9" t="s">
        <v>39</v>
      </c>
    </row>
    <row r="10" spans="1:3" x14ac:dyDescent="0.2">
      <c r="A10" t="s">
        <v>40</v>
      </c>
      <c r="B10" t="s">
        <v>215</v>
      </c>
      <c r="C10" t="s">
        <v>41</v>
      </c>
    </row>
    <row r="11" spans="1:3" x14ac:dyDescent="0.2">
      <c r="A11" t="s">
        <v>42</v>
      </c>
      <c r="B11" t="s">
        <v>2</v>
      </c>
      <c r="C11" t="s">
        <v>43</v>
      </c>
    </row>
    <row r="12" spans="1:3" x14ac:dyDescent="0.2">
      <c r="A12" t="s">
        <v>44</v>
      </c>
      <c r="B12" t="s">
        <v>2</v>
      </c>
      <c r="C1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45</v>
      </c>
      <c r="B1" s="4" t="s">
        <v>46</v>
      </c>
    </row>
    <row r="2" spans="1:20" x14ac:dyDescent="0.2">
      <c r="A2" s="3" t="s">
        <v>47</v>
      </c>
      <c r="B2" s="4" t="s">
        <v>48</v>
      </c>
    </row>
    <row r="3" spans="1:20" x14ac:dyDescent="0.2">
      <c r="A3" s="3" t="s">
        <v>49</v>
      </c>
      <c r="B3" s="4" t="s">
        <v>50</v>
      </c>
      <c r="C3" t="s">
        <v>51</v>
      </c>
    </row>
    <row r="4" spans="1:20" x14ac:dyDescent="0.2">
      <c r="A4" s="3" t="s">
        <v>52</v>
      </c>
      <c r="B4" s="4" t="s">
        <v>53</v>
      </c>
    </row>
    <row r="5" spans="1:20" x14ac:dyDescent="0.2">
      <c r="A5" s="3" t="s">
        <v>54</v>
      </c>
      <c r="B5" s="4">
        <v>1</v>
      </c>
      <c r="C5" t="s">
        <v>55</v>
      </c>
    </row>
    <row r="7" spans="1:20" ht="16" x14ac:dyDescent="0.2">
      <c r="A7" s="5" t="s">
        <v>56</v>
      </c>
      <c r="B7" s="5" t="s">
        <v>57</v>
      </c>
      <c r="C7" s="5" t="s">
        <v>58</v>
      </c>
      <c r="D7" s="5" t="s">
        <v>59</v>
      </c>
      <c r="E7" s="5" t="s">
        <v>60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2</v>
      </c>
      <c r="Q7" s="5" t="s">
        <v>2</v>
      </c>
      <c r="R7" s="5" t="s">
        <v>61</v>
      </c>
      <c r="S7" s="5" t="s">
        <v>62</v>
      </c>
      <c r="T7" s="5" t="s">
        <v>44</v>
      </c>
    </row>
    <row r="8" spans="1:20" x14ac:dyDescent="0.2">
      <c r="C8" t="s">
        <v>63</v>
      </c>
      <c r="D8" s="4" t="s">
        <v>29</v>
      </c>
      <c r="E8" s="4" t="s">
        <v>64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</row>
    <row r="9" spans="1:20" x14ac:dyDescent="0.2">
      <c r="C9" t="s">
        <v>65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</row>
    <row r="10" spans="1:20" x14ac:dyDescent="0.2">
      <c r="A10" t="s">
        <v>66</v>
      </c>
      <c r="B10" t="s">
        <v>67</v>
      </c>
      <c r="C10" t="s">
        <v>2</v>
      </c>
      <c r="S10" t="str">
        <f ca="1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68</v>
      </c>
      <c r="B11" t="s">
        <v>69</v>
      </c>
      <c r="C11" t="s">
        <v>70</v>
      </c>
      <c r="D11">
        <v>2623133</v>
      </c>
      <c r="E11">
        <v>1107114</v>
      </c>
      <c r="S11" t="str">
        <f ca="1"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 spans="1:20" x14ac:dyDescent="0.2">
      <c r="A12" t="s">
        <v>68</v>
      </c>
      <c r="B12" t="s">
        <v>71</v>
      </c>
      <c r="C12" t="s">
        <v>50</v>
      </c>
      <c r="D12">
        <v>2117010</v>
      </c>
      <c r="E12">
        <v>1091983</v>
      </c>
      <c r="S12" t="str">
        <f ca="1"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 spans="1:20" x14ac:dyDescent="0.2">
      <c r="A13" t="s">
        <v>68</v>
      </c>
      <c r="B13" t="s">
        <v>72</v>
      </c>
      <c r="C13" t="s">
        <v>73</v>
      </c>
      <c r="D13">
        <v>1528768</v>
      </c>
      <c r="E13">
        <v>352580</v>
      </c>
      <c r="S13" t="str">
        <f ca="1"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 spans="1:20" x14ac:dyDescent="0.2">
      <c r="A14" t="s">
        <v>74</v>
      </c>
      <c r="B14" t="s">
        <v>75</v>
      </c>
      <c r="C14" t="s">
        <v>2</v>
      </c>
      <c r="D14">
        <v>6268911</v>
      </c>
      <c r="E14">
        <v>2551677</v>
      </c>
      <c r="R14" t="s">
        <v>76</v>
      </c>
      <c r="S14" t="str">
        <f>IF($R14="","",IF(AND(IF(OR(ISNUMBER(D14),D14="-"),ABS(N(D14)-(SUM(D11,D12,D13)))&lt;=1,TRUE),IF(OR(ISNUMBER(E14),E14="-"),ABS(N(E14)-(SUM(E11,E12,E13)))&lt;=1,TRUE)),"✓","✗"))</f>
        <v>✓</v>
      </c>
    </row>
    <row r="15" spans="1:20" x14ac:dyDescent="0.2">
      <c r="A15" t="s">
        <v>68</v>
      </c>
      <c r="B15" t="s">
        <v>77</v>
      </c>
      <c r="C15" t="s">
        <v>78</v>
      </c>
      <c r="D15">
        <v>44944956</v>
      </c>
      <c r="E15">
        <v>46358052</v>
      </c>
      <c r="S15" t="str">
        <f ca="1"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 spans="1:20" x14ac:dyDescent="0.2">
      <c r="A16" t="s">
        <v>68</v>
      </c>
      <c r="B16" t="s">
        <v>79</v>
      </c>
      <c r="C16" t="s">
        <v>73</v>
      </c>
      <c r="D16">
        <v>27128902</v>
      </c>
      <c r="E16">
        <v>26174326</v>
      </c>
      <c r="S16" t="str">
        <f ca="1"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 spans="1:19" x14ac:dyDescent="0.2">
      <c r="A17" t="s">
        <v>68</v>
      </c>
      <c r="B17" t="s">
        <v>80</v>
      </c>
      <c r="C17" t="s">
        <v>81</v>
      </c>
      <c r="D17">
        <v>59414985</v>
      </c>
      <c r="E17">
        <v>51038352</v>
      </c>
      <c r="S17" t="str">
        <f ca="1"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 spans="1:19" x14ac:dyDescent="0.2">
      <c r="A18" t="s">
        <v>68</v>
      </c>
      <c r="B18" t="s">
        <v>82</v>
      </c>
      <c r="C18" t="s">
        <v>83</v>
      </c>
      <c r="D18">
        <v>9059059</v>
      </c>
      <c r="E18">
        <v>4918933</v>
      </c>
      <c r="S18" t="str">
        <f ca="1"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 spans="1:19" x14ac:dyDescent="0.2">
      <c r="A19" t="s">
        <v>68</v>
      </c>
      <c r="B19" t="s">
        <v>84</v>
      </c>
      <c r="C19" t="s">
        <v>85</v>
      </c>
      <c r="D19">
        <v>43402652</v>
      </c>
      <c r="E19">
        <v>23320980</v>
      </c>
      <c r="S19" t="str">
        <f ca="1"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 spans="1:19" x14ac:dyDescent="0.2">
      <c r="A20" t="s">
        <v>74</v>
      </c>
      <c r="B20" t="s">
        <v>86</v>
      </c>
      <c r="C20" t="s">
        <v>2</v>
      </c>
      <c r="D20">
        <v>183950554</v>
      </c>
      <c r="E20">
        <v>151810643</v>
      </c>
      <c r="R20" t="s">
        <v>87</v>
      </c>
      <c r="S20" t="str">
        <f>IF($R20="","",IF(AND(IF(OR(ISNUMBER(D20),D20="-"),ABS(N(D20)-(SUM(D15,D16,D17,D18,D19)))&lt;=1,TRUE),IF(OR(ISNUMBER(E20),E20="-"),ABS(N(E20)-(SUM(E15,E16,E17,E18,E19)))&lt;=1,TRUE)),"✓","✗"))</f>
        <v>✓</v>
      </c>
    </row>
    <row r="21" spans="1:19" x14ac:dyDescent="0.2">
      <c r="A21" t="s">
        <v>88</v>
      </c>
      <c r="B21" t="s">
        <v>89</v>
      </c>
      <c r="C21" t="s">
        <v>2</v>
      </c>
      <c r="D21">
        <v>190219465</v>
      </c>
      <c r="E21">
        <v>154362320</v>
      </c>
      <c r="R21" t="s">
        <v>90</v>
      </c>
      <c r="S21" t="str">
        <f>IF($R21="","",IF(AND(IF(OR(ISNUMBER(D21),D21="-"),ABS(N(D21)-(SUM(D14,D20)))&lt;=1,TRUE),IF(OR(ISNUMBER(E21),E21="-"),ABS(N(E21)-(SUM(E14,E20)))&lt;=1,TRUE)),"✓","✗"))</f>
        <v>✓</v>
      </c>
    </row>
    <row r="22" spans="1:19" x14ac:dyDescent="0.2">
      <c r="A22" t="s">
        <v>66</v>
      </c>
      <c r="B22" t="s">
        <v>91</v>
      </c>
      <c r="C22" t="s">
        <v>2</v>
      </c>
      <c r="S22" t="str">
        <f ca="1"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 spans="1:19" x14ac:dyDescent="0.2">
      <c r="A23" t="s">
        <v>66</v>
      </c>
      <c r="B23" t="s">
        <v>92</v>
      </c>
      <c r="C23" t="s">
        <v>2</v>
      </c>
      <c r="S23" t="str">
        <f ca="1"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 spans="1:19" x14ac:dyDescent="0.2">
      <c r="A24" t="s">
        <v>68</v>
      </c>
      <c r="B24" t="s">
        <v>93</v>
      </c>
      <c r="C24" t="s">
        <v>94</v>
      </c>
      <c r="D24">
        <v>70000000</v>
      </c>
      <c r="E24">
        <v>70000000</v>
      </c>
      <c r="S24" t="str">
        <f ca="1"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 spans="1:19" x14ac:dyDescent="0.2">
      <c r="A25" t="s">
        <v>68</v>
      </c>
      <c r="B25" t="s">
        <v>95</v>
      </c>
      <c r="C25" t="s">
        <v>96</v>
      </c>
      <c r="D25">
        <v>5040698</v>
      </c>
      <c r="E25">
        <v>5040698</v>
      </c>
      <c r="S25" t="str">
        <f ca="1"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 spans="1:19" x14ac:dyDescent="0.2">
      <c r="A26" t="s">
        <v>68</v>
      </c>
      <c r="B26" t="s">
        <v>97</v>
      </c>
      <c r="C26" t="s">
        <v>2</v>
      </c>
      <c r="D26">
        <v>52128718</v>
      </c>
      <c r="E26">
        <v>32308841</v>
      </c>
      <c r="S26" t="str">
        <f ca="1"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 spans="1:19" x14ac:dyDescent="0.2">
      <c r="A27" t="s">
        <v>88</v>
      </c>
      <c r="B27" t="s">
        <v>98</v>
      </c>
      <c r="C27" t="s">
        <v>2</v>
      </c>
      <c r="D27">
        <v>127169416</v>
      </c>
      <c r="E27">
        <v>107349539</v>
      </c>
      <c r="R27" t="s">
        <v>99</v>
      </c>
      <c r="S27" t="str">
        <f>IF($R27="","",IF(AND(IF(OR(ISNUMBER(D27),D27="-"),ABS(N(D27)-(SUM(D24,D25,D26)))&lt;=1,TRUE),IF(OR(ISNUMBER(E27),E27="-"),ABS(N(E27)-(SUM(E24,E25,E26)))&lt;=1,TRUE)),"✓","✗"))</f>
        <v>✓</v>
      </c>
    </row>
    <row r="28" spans="1:19" x14ac:dyDescent="0.2">
      <c r="A28" t="s">
        <v>66</v>
      </c>
      <c r="B28" t="s">
        <v>100</v>
      </c>
      <c r="C28" t="s">
        <v>2</v>
      </c>
      <c r="S28" t="str">
        <f ca="1"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 spans="1:19" x14ac:dyDescent="0.2">
      <c r="A29" t="s">
        <v>68</v>
      </c>
      <c r="B29" t="s">
        <v>101</v>
      </c>
      <c r="C29" t="s">
        <v>102</v>
      </c>
      <c r="D29">
        <v>9249245</v>
      </c>
      <c r="E29">
        <v>8608978</v>
      </c>
      <c r="S29" t="str">
        <f ca="1"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 spans="1:19" x14ac:dyDescent="0.2">
      <c r="A30" t="s">
        <v>68</v>
      </c>
      <c r="B30" t="s">
        <v>103</v>
      </c>
      <c r="C30" t="s">
        <v>2</v>
      </c>
      <c r="D30">
        <v>242847</v>
      </c>
      <c r="E30">
        <v>267000</v>
      </c>
      <c r="S30" t="str">
        <f ca="1"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 spans="1:19" x14ac:dyDescent="0.2">
      <c r="A31" t="s">
        <v>68</v>
      </c>
      <c r="B31" t="s">
        <v>104</v>
      </c>
      <c r="C31" t="s">
        <v>50</v>
      </c>
      <c r="D31">
        <v>1396222</v>
      </c>
      <c r="E31">
        <v>708291</v>
      </c>
      <c r="S31" t="str">
        <f ca="1"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 spans="1:19" x14ac:dyDescent="0.2">
      <c r="A32" t="s">
        <v>74</v>
      </c>
      <c r="B32" t="s">
        <v>105</v>
      </c>
      <c r="C32" t="s">
        <v>2</v>
      </c>
      <c r="D32">
        <v>10888314</v>
      </c>
      <c r="E32">
        <v>9584269</v>
      </c>
      <c r="R32" t="s">
        <v>106</v>
      </c>
      <c r="S32" t="str">
        <f>IF($R32="","",IF(AND(IF(OR(ISNUMBER(D32),D32="-"),ABS(N(D32)-(SUM(D29,D30,D31)))&lt;=1,TRUE),IF(OR(ISNUMBER(E32),E32="-"),ABS(N(E32)-(SUM(E29,E30,E31)))&lt;=1,TRUE)),"✓","✗"))</f>
        <v>✓</v>
      </c>
    </row>
    <row r="33" spans="1:19" x14ac:dyDescent="0.2">
      <c r="A33" t="s">
        <v>68</v>
      </c>
      <c r="B33" t="s">
        <v>107</v>
      </c>
      <c r="C33" t="s">
        <v>2</v>
      </c>
      <c r="D33">
        <v>511387</v>
      </c>
      <c r="E33" t="s">
        <v>108</v>
      </c>
      <c r="S33" t="str">
        <f ca="1"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 spans="1:19" x14ac:dyDescent="0.2">
      <c r="A34" t="s">
        <v>68</v>
      </c>
      <c r="B34" t="s">
        <v>109</v>
      </c>
      <c r="C34" t="s">
        <v>2</v>
      </c>
      <c r="D34">
        <v>51808</v>
      </c>
      <c r="E34">
        <v>982938</v>
      </c>
      <c r="S34" t="str">
        <f ca="1"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 spans="1:19" x14ac:dyDescent="0.2">
      <c r="A35" t="s">
        <v>68</v>
      </c>
      <c r="B35" t="s">
        <v>110</v>
      </c>
      <c r="C35" t="s">
        <v>111</v>
      </c>
      <c r="D35">
        <v>42844881</v>
      </c>
      <c r="E35">
        <v>30659994</v>
      </c>
      <c r="S35" t="str">
        <f ca="1"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 spans="1:19" x14ac:dyDescent="0.2">
      <c r="A36" t="s">
        <v>68</v>
      </c>
      <c r="B36" t="s">
        <v>112</v>
      </c>
      <c r="C36" t="s">
        <v>50</v>
      </c>
      <c r="D36">
        <v>1201684</v>
      </c>
      <c r="E36">
        <v>394084</v>
      </c>
      <c r="S36" t="str">
        <f ca="1"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 spans="1:19" x14ac:dyDescent="0.2">
      <c r="A37" t="s">
        <v>68</v>
      </c>
      <c r="B37" t="s">
        <v>113</v>
      </c>
      <c r="C37" t="s">
        <v>114</v>
      </c>
      <c r="D37">
        <v>7551975</v>
      </c>
      <c r="E37">
        <v>5391496</v>
      </c>
      <c r="S37" t="str">
        <f ca="1"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 spans="1:19" x14ac:dyDescent="0.2">
      <c r="A38" t="s">
        <v>74</v>
      </c>
      <c r="B38" t="s">
        <v>115</v>
      </c>
      <c r="C38" t="s">
        <v>2</v>
      </c>
      <c r="D38">
        <v>52161735</v>
      </c>
      <c r="E38">
        <v>37428512</v>
      </c>
      <c r="R38" t="s">
        <v>116</v>
      </c>
      <c r="S38" t="str">
        <f>IF($R38="","",IF(AND(IF(OR(ISNUMBER(D38),D38="-"),ABS(N(D38)-(SUM(D33,D34,D35,D36,D37)))&lt;=1,TRUE),IF(OR(ISNUMBER(E38),E38="-"),ABS(N(E38)-(SUM(E33,E34,E35,E36,E37)))&lt;=1,TRUE)),"✓","✗"))</f>
        <v>✓</v>
      </c>
    </row>
    <row r="39" spans="1:19" x14ac:dyDescent="0.2">
      <c r="A39" t="s">
        <v>88</v>
      </c>
      <c r="B39" t="s">
        <v>117</v>
      </c>
      <c r="C39" t="s">
        <v>2</v>
      </c>
      <c r="D39">
        <v>63050049</v>
      </c>
      <c r="E39">
        <v>47012781</v>
      </c>
      <c r="R39" t="s">
        <v>118</v>
      </c>
      <c r="S39" t="str">
        <f>IF($R39="","",IF(AND(IF(OR(ISNUMBER(D39),D39="-"),ABS(N(D39)-(SUM(D32,D38)))&lt;=1,TRUE),IF(OR(ISNUMBER(E39),E39="-"),ABS(N(E39)-(SUM(E32,E38)))&lt;=1,TRUE)),"✓","✗"))</f>
        <v>✓</v>
      </c>
    </row>
    <row r="40" spans="1:19" x14ac:dyDescent="0.2">
      <c r="A40" t="s">
        <v>88</v>
      </c>
      <c r="B40" t="s">
        <v>119</v>
      </c>
      <c r="C40" t="s">
        <v>2</v>
      </c>
      <c r="D40">
        <v>190219465</v>
      </c>
      <c r="E40">
        <v>154362320</v>
      </c>
      <c r="R40" t="s">
        <v>120</v>
      </c>
      <c r="S40" t="str">
        <f>IF($R40="","",IF(AND(IF(OR(ISNUMBER(D40),D40="-"),ABS(N(D40)-(SUM(D27,D39)))&lt;=1,TRUE),IF(OR(ISNUMBER(E40),E40="-"),ABS(N(E40)-(SUM(E27,E39)))&lt;=1,TRUE)),"✓","✗"))</f>
        <v>✓</v>
      </c>
    </row>
    <row r="41" spans="1:19" x14ac:dyDescent="0.2">
      <c r="S41" t="str">
        <f t="shared" ref="S41:S72" ca="1" si="0"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 spans="1:19" x14ac:dyDescent="0.2">
      <c r="S42" t="str">
        <f t="shared" ca="1" si="0"/>
        <v/>
      </c>
    </row>
    <row r="43" spans="1:19" x14ac:dyDescent="0.2">
      <c r="S43" t="str">
        <f t="shared" ca="1" si="0"/>
        <v/>
      </c>
    </row>
    <row r="44" spans="1:19" x14ac:dyDescent="0.2">
      <c r="S44" t="str">
        <f t="shared" ca="1" si="0"/>
        <v/>
      </c>
    </row>
    <row r="45" spans="1:19" x14ac:dyDescent="0.2">
      <c r="S45" t="str">
        <f t="shared" ca="1" si="0"/>
        <v/>
      </c>
    </row>
    <row r="46" spans="1:19" x14ac:dyDescent="0.2">
      <c r="S46" t="str">
        <f t="shared" ca="1" si="0"/>
        <v/>
      </c>
    </row>
    <row r="47" spans="1:19" x14ac:dyDescent="0.2">
      <c r="S47" t="str">
        <f t="shared" ca="1" si="0"/>
        <v/>
      </c>
    </row>
    <row r="48" spans="1:19" x14ac:dyDescent="0.2">
      <c r="S48" t="str">
        <f t="shared" ca="1" si="0"/>
        <v/>
      </c>
    </row>
    <row r="49" spans="19:19" x14ac:dyDescent="0.2">
      <c r="S49" t="str">
        <f t="shared" ca="1" si="0"/>
        <v/>
      </c>
    </row>
    <row r="50" spans="19:19" x14ac:dyDescent="0.2">
      <c r="S50" t="str">
        <f t="shared" ca="1" si="0"/>
        <v/>
      </c>
    </row>
    <row r="51" spans="19:19" x14ac:dyDescent="0.2">
      <c r="S51" t="str">
        <f t="shared" ca="1" si="0"/>
        <v/>
      </c>
    </row>
    <row r="52" spans="19:19" x14ac:dyDescent="0.2">
      <c r="S52" t="str">
        <f t="shared" ca="1" si="0"/>
        <v/>
      </c>
    </row>
    <row r="53" spans="19:19" x14ac:dyDescent="0.2">
      <c r="S53" t="str">
        <f t="shared" ca="1" si="0"/>
        <v/>
      </c>
    </row>
    <row r="54" spans="19:19" x14ac:dyDescent="0.2">
      <c r="S54" t="str">
        <f t="shared" ca="1" si="0"/>
        <v/>
      </c>
    </row>
    <row r="55" spans="19:19" x14ac:dyDescent="0.2">
      <c r="S55" t="str">
        <f t="shared" ca="1" si="0"/>
        <v/>
      </c>
    </row>
    <row r="56" spans="19:19" x14ac:dyDescent="0.2">
      <c r="S56" t="str">
        <f t="shared" ca="1" si="0"/>
        <v/>
      </c>
    </row>
    <row r="57" spans="19:19" x14ac:dyDescent="0.2">
      <c r="S57" t="str">
        <f t="shared" ca="1" si="0"/>
        <v/>
      </c>
    </row>
    <row r="58" spans="19:19" x14ac:dyDescent="0.2">
      <c r="S58" t="str">
        <f t="shared" ca="1" si="0"/>
        <v/>
      </c>
    </row>
    <row r="59" spans="19:19" x14ac:dyDescent="0.2">
      <c r="S59" t="str">
        <f t="shared" ca="1" si="0"/>
        <v/>
      </c>
    </row>
    <row r="60" spans="19:19" x14ac:dyDescent="0.2">
      <c r="S60" t="str">
        <f t="shared" ca="1" si="0"/>
        <v/>
      </c>
    </row>
    <row r="61" spans="19:19" x14ac:dyDescent="0.2">
      <c r="S61" t="str">
        <f t="shared" ca="1" si="0"/>
        <v/>
      </c>
    </row>
    <row r="62" spans="19:19" x14ac:dyDescent="0.2">
      <c r="S62" t="str">
        <f t="shared" ca="1" si="0"/>
        <v/>
      </c>
    </row>
    <row r="63" spans="19:19" x14ac:dyDescent="0.2">
      <c r="S63" t="str">
        <f t="shared" ca="1" si="0"/>
        <v/>
      </c>
    </row>
    <row r="64" spans="19:19" x14ac:dyDescent="0.2">
      <c r="S64" t="str">
        <f t="shared" ca="1" si="0"/>
        <v/>
      </c>
    </row>
    <row r="65" spans="19:19" x14ac:dyDescent="0.2">
      <c r="S65" t="str">
        <f t="shared" ca="1" si="0"/>
        <v/>
      </c>
    </row>
    <row r="66" spans="19:19" x14ac:dyDescent="0.2">
      <c r="S66" t="str">
        <f t="shared" ca="1" si="0"/>
        <v/>
      </c>
    </row>
    <row r="67" spans="19:19" x14ac:dyDescent="0.2">
      <c r="S67" t="str">
        <f t="shared" ca="1" si="0"/>
        <v/>
      </c>
    </row>
    <row r="68" spans="19:19" x14ac:dyDescent="0.2">
      <c r="S68" t="str">
        <f t="shared" ca="1" si="0"/>
        <v/>
      </c>
    </row>
    <row r="69" spans="19:19" x14ac:dyDescent="0.2">
      <c r="S69" t="str">
        <f t="shared" ca="1" si="0"/>
        <v/>
      </c>
    </row>
    <row r="70" spans="19:19" x14ac:dyDescent="0.2">
      <c r="S70" t="str">
        <f t="shared" ca="1" si="0"/>
        <v/>
      </c>
    </row>
    <row r="71" spans="19:19" x14ac:dyDescent="0.2">
      <c r="S71" t="str">
        <f t="shared" ca="1" si="0"/>
        <v/>
      </c>
    </row>
    <row r="72" spans="19:19" x14ac:dyDescent="0.2">
      <c r="S72" t="str">
        <f t="shared" ca="1" si="0"/>
        <v/>
      </c>
    </row>
    <row r="73" spans="19:19" x14ac:dyDescent="0.2">
      <c r="S73" t="str">
        <f t="shared" ref="S73:S104" ca="1" si="1"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 spans="19:19" x14ac:dyDescent="0.2">
      <c r="S74" t="str">
        <f t="shared" ca="1" si="1"/>
        <v/>
      </c>
    </row>
    <row r="75" spans="19:19" x14ac:dyDescent="0.2">
      <c r="S75" t="str">
        <f t="shared" ca="1" si="1"/>
        <v/>
      </c>
    </row>
    <row r="76" spans="19:19" x14ac:dyDescent="0.2">
      <c r="S76" t="str">
        <f t="shared" ca="1" si="1"/>
        <v/>
      </c>
    </row>
    <row r="77" spans="19:19" x14ac:dyDescent="0.2">
      <c r="S77" t="str">
        <f t="shared" ca="1" si="1"/>
        <v/>
      </c>
    </row>
    <row r="78" spans="19:19" x14ac:dyDescent="0.2">
      <c r="S78" t="str">
        <f t="shared" ca="1" si="1"/>
        <v/>
      </c>
    </row>
    <row r="79" spans="19:19" x14ac:dyDescent="0.2">
      <c r="S79" t="str">
        <f t="shared" ca="1" si="1"/>
        <v/>
      </c>
    </row>
    <row r="80" spans="19:19" x14ac:dyDescent="0.2">
      <c r="S80" t="str">
        <f t="shared" ca="1" si="1"/>
        <v/>
      </c>
    </row>
    <row r="81" spans="19:19" x14ac:dyDescent="0.2">
      <c r="S81" t="str">
        <f t="shared" ca="1" si="1"/>
        <v/>
      </c>
    </row>
    <row r="82" spans="19:19" x14ac:dyDescent="0.2">
      <c r="S82" t="str">
        <f t="shared" ca="1" si="1"/>
        <v/>
      </c>
    </row>
    <row r="83" spans="19:19" x14ac:dyDescent="0.2">
      <c r="S83" t="str">
        <f t="shared" ca="1" si="1"/>
        <v/>
      </c>
    </row>
    <row r="84" spans="19:19" x14ac:dyDescent="0.2">
      <c r="S84" t="str">
        <f t="shared" ca="1" si="1"/>
        <v/>
      </c>
    </row>
    <row r="85" spans="19:19" x14ac:dyDescent="0.2">
      <c r="S85" t="str">
        <f t="shared" ca="1" si="1"/>
        <v/>
      </c>
    </row>
    <row r="86" spans="19:19" x14ac:dyDescent="0.2">
      <c r="S86" t="str">
        <f t="shared" ca="1" si="1"/>
        <v/>
      </c>
    </row>
    <row r="87" spans="19:19" x14ac:dyDescent="0.2">
      <c r="S87" t="str">
        <f t="shared" ca="1" si="1"/>
        <v/>
      </c>
    </row>
    <row r="88" spans="19:19" x14ac:dyDescent="0.2">
      <c r="S88" t="str">
        <f t="shared" ca="1" si="1"/>
        <v/>
      </c>
    </row>
    <row r="89" spans="19:19" x14ac:dyDescent="0.2">
      <c r="S89" t="str">
        <f t="shared" ca="1" si="1"/>
        <v/>
      </c>
    </row>
    <row r="90" spans="19:19" x14ac:dyDescent="0.2">
      <c r="S90" t="str">
        <f t="shared" ca="1" si="1"/>
        <v/>
      </c>
    </row>
    <row r="91" spans="19:19" x14ac:dyDescent="0.2">
      <c r="S91" t="str">
        <f t="shared" ca="1" si="1"/>
        <v/>
      </c>
    </row>
    <row r="92" spans="19:19" x14ac:dyDescent="0.2">
      <c r="S92" t="str">
        <f t="shared" ca="1" si="1"/>
        <v/>
      </c>
    </row>
    <row r="93" spans="19:19" x14ac:dyDescent="0.2">
      <c r="S93" t="str">
        <f t="shared" ca="1" si="1"/>
        <v/>
      </c>
    </row>
    <row r="94" spans="19:19" x14ac:dyDescent="0.2">
      <c r="S94" t="str">
        <f t="shared" ca="1" si="1"/>
        <v/>
      </c>
    </row>
    <row r="95" spans="19:19" x14ac:dyDescent="0.2">
      <c r="S95" t="str">
        <f t="shared" ca="1" si="1"/>
        <v/>
      </c>
    </row>
    <row r="96" spans="19:19" x14ac:dyDescent="0.2">
      <c r="S96" t="str">
        <f t="shared" ca="1" si="1"/>
        <v/>
      </c>
    </row>
    <row r="97" spans="19:19" x14ac:dyDescent="0.2">
      <c r="S97" t="str">
        <f t="shared" ca="1" si="1"/>
        <v/>
      </c>
    </row>
    <row r="98" spans="19:19" x14ac:dyDescent="0.2">
      <c r="S98" t="str">
        <f t="shared" ca="1" si="1"/>
        <v/>
      </c>
    </row>
    <row r="99" spans="19:19" x14ac:dyDescent="0.2">
      <c r="S99" t="str">
        <f t="shared" ca="1" si="1"/>
        <v/>
      </c>
    </row>
    <row r="100" spans="19:19" x14ac:dyDescent="0.2">
      <c r="S100" t="str">
        <f t="shared" ca="1" si="1"/>
        <v/>
      </c>
    </row>
    <row r="101" spans="19:19" x14ac:dyDescent="0.2">
      <c r="S101" t="str">
        <f t="shared" ca="1" si="1"/>
        <v/>
      </c>
    </row>
    <row r="102" spans="19:19" x14ac:dyDescent="0.2">
      <c r="S102" t="str">
        <f t="shared" ca="1" si="1"/>
        <v/>
      </c>
    </row>
    <row r="103" spans="19:19" x14ac:dyDescent="0.2">
      <c r="S103" t="str">
        <f t="shared" ca="1" si="1"/>
        <v/>
      </c>
    </row>
    <row r="104" spans="19:19" x14ac:dyDescent="0.2">
      <c r="S104" t="str">
        <f t="shared" ca="1" si="1"/>
        <v/>
      </c>
    </row>
    <row r="105" spans="19:19" x14ac:dyDescent="0.2">
      <c r="S105" t="str">
        <f t="shared" ref="S105:S136" ca="1" si="2"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 spans="19:19" x14ac:dyDescent="0.2">
      <c r="S106" t="str">
        <f t="shared" ca="1" si="2"/>
        <v/>
      </c>
    </row>
    <row r="107" spans="19:19" x14ac:dyDescent="0.2">
      <c r="S107" t="str">
        <f t="shared" ca="1" si="2"/>
        <v/>
      </c>
    </row>
    <row r="108" spans="19:19" x14ac:dyDescent="0.2">
      <c r="S108" t="str">
        <f t="shared" ca="1" si="2"/>
        <v/>
      </c>
    </row>
    <row r="109" spans="19:19" x14ac:dyDescent="0.2">
      <c r="S109" t="str">
        <f t="shared" ca="1" si="2"/>
        <v/>
      </c>
    </row>
    <row r="110" spans="19:19" x14ac:dyDescent="0.2">
      <c r="S110" t="str">
        <f t="shared" ca="1" si="2"/>
        <v/>
      </c>
    </row>
    <row r="111" spans="19:19" x14ac:dyDescent="0.2">
      <c r="S111" t="str">
        <f t="shared" ca="1" si="2"/>
        <v/>
      </c>
    </row>
    <row r="112" spans="19:19" x14ac:dyDescent="0.2">
      <c r="S112" t="str">
        <f t="shared" ca="1" si="2"/>
        <v/>
      </c>
    </row>
    <row r="113" spans="19:19" x14ac:dyDescent="0.2">
      <c r="S113" t="str">
        <f t="shared" ca="1" si="2"/>
        <v/>
      </c>
    </row>
    <row r="114" spans="19:19" x14ac:dyDescent="0.2">
      <c r="S114" t="str">
        <f t="shared" ca="1" si="2"/>
        <v/>
      </c>
    </row>
    <row r="115" spans="19:19" x14ac:dyDescent="0.2">
      <c r="S115" t="str">
        <f t="shared" ca="1" si="2"/>
        <v/>
      </c>
    </row>
    <row r="116" spans="19:19" x14ac:dyDescent="0.2">
      <c r="S116" t="str">
        <f t="shared" ca="1" si="2"/>
        <v/>
      </c>
    </row>
    <row r="117" spans="19:19" x14ac:dyDescent="0.2">
      <c r="S117" t="str">
        <f t="shared" ca="1" si="2"/>
        <v/>
      </c>
    </row>
    <row r="118" spans="19:19" x14ac:dyDescent="0.2">
      <c r="S118" t="str">
        <f t="shared" ca="1" si="2"/>
        <v/>
      </c>
    </row>
    <row r="119" spans="19:19" x14ac:dyDescent="0.2">
      <c r="S119" t="str">
        <f t="shared" ca="1" si="2"/>
        <v/>
      </c>
    </row>
    <row r="120" spans="19:19" x14ac:dyDescent="0.2">
      <c r="S120" t="str">
        <f t="shared" ca="1" si="2"/>
        <v/>
      </c>
    </row>
    <row r="121" spans="19:19" x14ac:dyDescent="0.2">
      <c r="S121" t="str">
        <f t="shared" ca="1" si="2"/>
        <v/>
      </c>
    </row>
    <row r="122" spans="19:19" x14ac:dyDescent="0.2">
      <c r="S122" t="str">
        <f t="shared" ca="1" si="2"/>
        <v/>
      </c>
    </row>
    <row r="123" spans="19:19" x14ac:dyDescent="0.2">
      <c r="S123" t="str">
        <f t="shared" ca="1" si="2"/>
        <v/>
      </c>
    </row>
    <row r="124" spans="19:19" x14ac:dyDescent="0.2">
      <c r="S124" t="str">
        <f t="shared" ca="1" si="2"/>
        <v/>
      </c>
    </row>
    <row r="125" spans="19:19" x14ac:dyDescent="0.2">
      <c r="S125" t="str">
        <f t="shared" ca="1" si="2"/>
        <v/>
      </c>
    </row>
    <row r="126" spans="19:19" x14ac:dyDescent="0.2">
      <c r="S126" t="str">
        <f t="shared" ca="1" si="2"/>
        <v/>
      </c>
    </row>
    <row r="127" spans="19:19" x14ac:dyDescent="0.2">
      <c r="S127" t="str">
        <f t="shared" ca="1" si="2"/>
        <v/>
      </c>
    </row>
    <row r="128" spans="19:19" x14ac:dyDescent="0.2">
      <c r="S128" t="str">
        <f t="shared" ca="1" si="2"/>
        <v/>
      </c>
    </row>
    <row r="129" spans="19:19" x14ac:dyDescent="0.2">
      <c r="S129" t="str">
        <f t="shared" ca="1" si="2"/>
        <v/>
      </c>
    </row>
    <row r="130" spans="19:19" x14ac:dyDescent="0.2">
      <c r="S130" t="str">
        <f t="shared" ca="1" si="2"/>
        <v/>
      </c>
    </row>
    <row r="131" spans="19:19" x14ac:dyDescent="0.2">
      <c r="S131" t="str">
        <f t="shared" ca="1" si="2"/>
        <v/>
      </c>
    </row>
    <row r="132" spans="19:19" x14ac:dyDescent="0.2">
      <c r="S132" t="str">
        <f t="shared" ca="1" si="2"/>
        <v/>
      </c>
    </row>
    <row r="133" spans="19:19" x14ac:dyDescent="0.2">
      <c r="S133" t="str">
        <f t="shared" ca="1" si="2"/>
        <v/>
      </c>
    </row>
    <row r="134" spans="19:19" x14ac:dyDescent="0.2">
      <c r="S134" t="str">
        <f t="shared" ca="1" si="2"/>
        <v/>
      </c>
    </row>
    <row r="135" spans="19:19" x14ac:dyDescent="0.2">
      <c r="S135" t="str">
        <f t="shared" ca="1" si="2"/>
        <v/>
      </c>
    </row>
    <row r="136" spans="19:19" x14ac:dyDescent="0.2">
      <c r="S136" t="str">
        <f t="shared" ca="1" si="2"/>
        <v/>
      </c>
    </row>
    <row r="137" spans="19:19" x14ac:dyDescent="0.2">
      <c r="S137" t="str">
        <f t="shared" ref="S137:S168" ca="1" si="3"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 spans="19:19" x14ac:dyDescent="0.2">
      <c r="S138" t="str">
        <f t="shared" ca="1" si="3"/>
        <v/>
      </c>
    </row>
    <row r="139" spans="19:19" x14ac:dyDescent="0.2">
      <c r="S139" t="str">
        <f t="shared" ca="1" si="3"/>
        <v/>
      </c>
    </row>
    <row r="140" spans="19:19" x14ac:dyDescent="0.2">
      <c r="S140" t="str">
        <f t="shared" ca="1" si="3"/>
        <v/>
      </c>
    </row>
    <row r="141" spans="19:19" x14ac:dyDescent="0.2">
      <c r="S141" t="str">
        <f t="shared" ca="1" si="3"/>
        <v/>
      </c>
    </row>
    <row r="142" spans="19:19" x14ac:dyDescent="0.2">
      <c r="S142" t="str">
        <f t="shared" ca="1" si="3"/>
        <v/>
      </c>
    </row>
    <row r="143" spans="19:19" x14ac:dyDescent="0.2">
      <c r="S143" t="str">
        <f t="shared" ca="1" si="3"/>
        <v/>
      </c>
    </row>
    <row r="144" spans="19:19" x14ac:dyDescent="0.2">
      <c r="S144" t="str">
        <f t="shared" ca="1" si="3"/>
        <v/>
      </c>
    </row>
    <row r="145" spans="19:19" x14ac:dyDescent="0.2">
      <c r="S145" t="str">
        <f t="shared" ca="1" si="3"/>
        <v/>
      </c>
    </row>
    <row r="146" spans="19:19" x14ac:dyDescent="0.2">
      <c r="S146" t="str">
        <f t="shared" ca="1" si="3"/>
        <v/>
      </c>
    </row>
    <row r="147" spans="19:19" x14ac:dyDescent="0.2">
      <c r="S147" t="str">
        <f t="shared" ca="1" si="3"/>
        <v/>
      </c>
    </row>
    <row r="148" spans="19:19" x14ac:dyDescent="0.2">
      <c r="S148" t="str">
        <f t="shared" ca="1" si="3"/>
        <v/>
      </c>
    </row>
    <row r="149" spans="19:19" x14ac:dyDescent="0.2">
      <c r="S149" t="str">
        <f t="shared" ca="1" si="3"/>
        <v/>
      </c>
    </row>
    <row r="150" spans="19:19" x14ac:dyDescent="0.2">
      <c r="S150" t="str">
        <f t="shared" ca="1" si="3"/>
        <v/>
      </c>
    </row>
    <row r="151" spans="19:19" x14ac:dyDescent="0.2">
      <c r="S151" t="str">
        <f t="shared" ca="1" si="3"/>
        <v/>
      </c>
    </row>
    <row r="152" spans="19:19" x14ac:dyDescent="0.2">
      <c r="S152" t="str">
        <f t="shared" ca="1" si="3"/>
        <v/>
      </c>
    </row>
    <row r="153" spans="19:19" x14ac:dyDescent="0.2">
      <c r="S153" t="str">
        <f t="shared" ca="1" si="3"/>
        <v/>
      </c>
    </row>
    <row r="154" spans="19:19" x14ac:dyDescent="0.2">
      <c r="S154" t="str">
        <f t="shared" ca="1" si="3"/>
        <v/>
      </c>
    </row>
    <row r="155" spans="19:19" x14ac:dyDescent="0.2">
      <c r="S155" t="str">
        <f t="shared" ca="1" si="3"/>
        <v/>
      </c>
    </row>
    <row r="156" spans="19:19" x14ac:dyDescent="0.2">
      <c r="S156" t="str">
        <f t="shared" ca="1" si="3"/>
        <v/>
      </c>
    </row>
    <row r="157" spans="19:19" x14ac:dyDescent="0.2">
      <c r="S157" t="str">
        <f t="shared" ca="1" si="3"/>
        <v/>
      </c>
    </row>
    <row r="158" spans="19:19" x14ac:dyDescent="0.2">
      <c r="S158" t="str">
        <f t="shared" ca="1" si="3"/>
        <v/>
      </c>
    </row>
    <row r="159" spans="19:19" x14ac:dyDescent="0.2">
      <c r="S159" t="str">
        <f t="shared" ca="1" si="3"/>
        <v/>
      </c>
    </row>
    <row r="160" spans="19:19" x14ac:dyDescent="0.2">
      <c r="S160" t="str">
        <f t="shared" ca="1" si="3"/>
        <v/>
      </c>
    </row>
    <row r="161" spans="19:19" x14ac:dyDescent="0.2">
      <c r="S161" t="str">
        <f t="shared" ca="1" si="3"/>
        <v/>
      </c>
    </row>
    <row r="162" spans="19:19" x14ac:dyDescent="0.2">
      <c r="S162" t="str">
        <f t="shared" ca="1" si="3"/>
        <v/>
      </c>
    </row>
    <row r="163" spans="19:19" x14ac:dyDescent="0.2">
      <c r="S163" t="str">
        <f t="shared" ca="1" si="3"/>
        <v/>
      </c>
    </row>
    <row r="164" spans="19:19" x14ac:dyDescent="0.2">
      <c r="S164" t="str">
        <f t="shared" ca="1" si="3"/>
        <v/>
      </c>
    </row>
    <row r="165" spans="19:19" x14ac:dyDescent="0.2">
      <c r="S165" t="str">
        <f t="shared" ca="1" si="3"/>
        <v/>
      </c>
    </row>
    <row r="166" spans="19:19" x14ac:dyDescent="0.2">
      <c r="S166" t="str">
        <f t="shared" ca="1" si="3"/>
        <v/>
      </c>
    </row>
    <row r="167" spans="19:19" x14ac:dyDescent="0.2">
      <c r="S167" t="str">
        <f t="shared" ca="1" si="3"/>
        <v/>
      </c>
    </row>
    <row r="168" spans="19:19" x14ac:dyDescent="0.2">
      <c r="S168" t="str">
        <f t="shared" ca="1" si="3"/>
        <v/>
      </c>
    </row>
    <row r="169" spans="19:19" x14ac:dyDescent="0.2">
      <c r="S169" t="str">
        <f t="shared" ref="S169:S200" ca="1" si="4"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 spans="19:19" x14ac:dyDescent="0.2">
      <c r="S170" t="str">
        <f t="shared" ca="1" si="4"/>
        <v/>
      </c>
    </row>
    <row r="171" spans="19:19" x14ac:dyDescent="0.2">
      <c r="S171" t="str">
        <f t="shared" ca="1" si="4"/>
        <v/>
      </c>
    </row>
    <row r="172" spans="19:19" x14ac:dyDescent="0.2">
      <c r="S172" t="str">
        <f t="shared" ca="1" si="4"/>
        <v/>
      </c>
    </row>
    <row r="173" spans="19:19" x14ac:dyDescent="0.2">
      <c r="S173" t="str">
        <f t="shared" ca="1" si="4"/>
        <v/>
      </c>
    </row>
    <row r="174" spans="19:19" x14ac:dyDescent="0.2">
      <c r="S174" t="str">
        <f t="shared" ca="1" si="4"/>
        <v/>
      </c>
    </row>
    <row r="175" spans="19:19" x14ac:dyDescent="0.2">
      <c r="S175" t="str">
        <f t="shared" ca="1" si="4"/>
        <v/>
      </c>
    </row>
    <row r="176" spans="19:19" x14ac:dyDescent="0.2">
      <c r="S176" t="str">
        <f t="shared" ca="1" si="4"/>
        <v/>
      </c>
    </row>
    <row r="177" spans="19:19" x14ac:dyDescent="0.2">
      <c r="S177" t="str">
        <f t="shared" ca="1" si="4"/>
        <v/>
      </c>
    </row>
    <row r="178" spans="19:19" x14ac:dyDescent="0.2">
      <c r="S178" t="str">
        <f t="shared" ca="1" si="4"/>
        <v/>
      </c>
    </row>
    <row r="179" spans="19:19" x14ac:dyDescent="0.2">
      <c r="S179" t="str">
        <f t="shared" ca="1" si="4"/>
        <v/>
      </c>
    </row>
    <row r="180" spans="19:19" x14ac:dyDescent="0.2">
      <c r="S180" t="str">
        <f t="shared" ca="1" si="4"/>
        <v/>
      </c>
    </row>
    <row r="181" spans="19:19" x14ac:dyDescent="0.2">
      <c r="S181" t="str">
        <f t="shared" ca="1" si="4"/>
        <v/>
      </c>
    </row>
    <row r="182" spans="19:19" x14ac:dyDescent="0.2">
      <c r="S182" t="str">
        <f t="shared" ca="1" si="4"/>
        <v/>
      </c>
    </row>
    <row r="183" spans="19:19" x14ac:dyDescent="0.2">
      <c r="S183" t="str">
        <f t="shared" ca="1" si="4"/>
        <v/>
      </c>
    </row>
    <row r="184" spans="19:19" x14ac:dyDescent="0.2">
      <c r="S184" t="str">
        <f t="shared" ca="1" si="4"/>
        <v/>
      </c>
    </row>
    <row r="185" spans="19:19" x14ac:dyDescent="0.2">
      <c r="S185" t="str">
        <f t="shared" ca="1" si="4"/>
        <v/>
      </c>
    </row>
    <row r="186" spans="19:19" x14ac:dyDescent="0.2">
      <c r="S186" t="str">
        <f t="shared" ca="1" si="4"/>
        <v/>
      </c>
    </row>
    <row r="187" spans="19:19" x14ac:dyDescent="0.2">
      <c r="S187" t="str">
        <f t="shared" ca="1" si="4"/>
        <v/>
      </c>
    </row>
    <row r="188" spans="19:19" x14ac:dyDescent="0.2">
      <c r="S188" t="str">
        <f t="shared" ca="1" si="4"/>
        <v/>
      </c>
    </row>
    <row r="189" spans="19:19" x14ac:dyDescent="0.2">
      <c r="S189" t="str">
        <f t="shared" ca="1" si="4"/>
        <v/>
      </c>
    </row>
    <row r="190" spans="19:19" x14ac:dyDescent="0.2">
      <c r="S190" t="str">
        <f t="shared" ca="1" si="4"/>
        <v/>
      </c>
    </row>
    <row r="191" spans="19:19" x14ac:dyDescent="0.2">
      <c r="S191" t="str">
        <f t="shared" ca="1" si="4"/>
        <v/>
      </c>
    </row>
    <row r="192" spans="19:19" x14ac:dyDescent="0.2">
      <c r="S192" t="str">
        <f t="shared" ca="1" si="4"/>
        <v/>
      </c>
    </row>
    <row r="193" spans="19:19" x14ac:dyDescent="0.2">
      <c r="S193" t="str">
        <f t="shared" ca="1" si="4"/>
        <v/>
      </c>
    </row>
    <row r="194" spans="19:19" x14ac:dyDescent="0.2">
      <c r="S194" t="str">
        <f t="shared" ca="1" si="4"/>
        <v/>
      </c>
    </row>
    <row r="195" spans="19:19" x14ac:dyDescent="0.2">
      <c r="S195" t="str">
        <f t="shared" ca="1" si="4"/>
        <v/>
      </c>
    </row>
    <row r="196" spans="19:19" x14ac:dyDescent="0.2">
      <c r="S196" t="str">
        <f t="shared" ca="1" si="4"/>
        <v/>
      </c>
    </row>
    <row r="197" spans="19:19" x14ac:dyDescent="0.2">
      <c r="S197" t="str">
        <f t="shared" ca="1" si="4"/>
        <v/>
      </c>
    </row>
    <row r="198" spans="19:19" x14ac:dyDescent="0.2">
      <c r="S198" t="str">
        <f t="shared" ca="1" si="4"/>
        <v/>
      </c>
    </row>
    <row r="199" spans="19:19" x14ac:dyDescent="0.2">
      <c r="S199" t="str">
        <f t="shared" ca="1" si="4"/>
        <v/>
      </c>
    </row>
    <row r="200" spans="19:19" x14ac:dyDescent="0.2">
      <c r="S200" t="str">
        <f t="shared" ca="1" si="4"/>
        <v/>
      </c>
    </row>
    <row r="201" spans="19:19" x14ac:dyDescent="0.2">
      <c r="S201" t="str">
        <f t="shared" ref="S201:S209" ca="1" si="5"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 spans="19:19" x14ac:dyDescent="0.2">
      <c r="S202" t="str">
        <f t="shared" ca="1" si="5"/>
        <v/>
      </c>
    </row>
    <row r="203" spans="19:19" x14ac:dyDescent="0.2">
      <c r="S203" t="str">
        <f t="shared" ca="1" si="5"/>
        <v/>
      </c>
    </row>
    <row r="204" spans="19:19" x14ac:dyDescent="0.2">
      <c r="S204" t="str">
        <f t="shared" ca="1" si="5"/>
        <v/>
      </c>
    </row>
    <row r="205" spans="19:19" x14ac:dyDescent="0.2">
      <c r="S205" t="str">
        <f t="shared" ca="1" si="5"/>
        <v/>
      </c>
    </row>
    <row r="206" spans="19:19" x14ac:dyDescent="0.2">
      <c r="S206" t="str">
        <f t="shared" ca="1" si="5"/>
        <v/>
      </c>
    </row>
    <row r="207" spans="19:19" x14ac:dyDescent="0.2">
      <c r="S207" t="str">
        <f t="shared" ca="1" si="5"/>
        <v/>
      </c>
    </row>
    <row r="208" spans="19:19" x14ac:dyDescent="0.2">
      <c r="S208" t="str">
        <f t="shared" ca="1" si="5"/>
        <v/>
      </c>
    </row>
    <row r="209" spans="19:19" x14ac:dyDescent="0.2">
      <c r="S209" t="str">
        <f t="shared" ca="1" si="5"/>
        <v/>
      </c>
    </row>
  </sheetData>
  <conditionalFormatting sqref="S10:S209">
    <cfRule type="cellIs" dxfId="7" priority="1" operator="equal">
      <formula>"✗"</formula>
    </cfRule>
    <cfRule type="cellIs" dxfId="6" priority="2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</dataValidation>
    <dataValidation type="list" sqref="B5" xr:uid="{00000000-0002-0000-0200-000001000000}">
      <formula1>"1,1000,1000000"</formula1>
    </dataValidation>
    <dataValidation type="list" allowBlank="1" sqref="A10:A209" xr:uid="{00000000-0002-0000-0200-000002000000}">
      <formula1>"section,item,subtotal,total"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tabSelected="1"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45</v>
      </c>
      <c r="B1" s="4" t="s">
        <v>121</v>
      </c>
    </row>
    <row r="2" spans="1:20" x14ac:dyDescent="0.2">
      <c r="A2" s="3" t="s">
        <v>47</v>
      </c>
      <c r="B2" s="4" t="s">
        <v>122</v>
      </c>
    </row>
    <row r="3" spans="1:20" x14ac:dyDescent="0.2">
      <c r="A3" s="3" t="s">
        <v>49</v>
      </c>
      <c r="B3" s="4" t="s">
        <v>73</v>
      </c>
      <c r="C3" t="s">
        <v>51</v>
      </c>
    </row>
    <row r="4" spans="1:20" x14ac:dyDescent="0.2">
      <c r="A4" s="3" t="s">
        <v>52</v>
      </c>
      <c r="B4" s="4" t="s">
        <v>53</v>
      </c>
    </row>
    <row r="5" spans="1:20" x14ac:dyDescent="0.2">
      <c r="A5" s="3" t="s">
        <v>54</v>
      </c>
      <c r="B5" s="4">
        <v>1</v>
      </c>
      <c r="C5" t="s">
        <v>55</v>
      </c>
    </row>
    <row r="7" spans="1:20" ht="16" x14ac:dyDescent="0.2">
      <c r="A7" s="5" t="s">
        <v>56</v>
      </c>
      <c r="B7" s="5" t="s">
        <v>57</v>
      </c>
      <c r="C7" s="5" t="s">
        <v>58</v>
      </c>
      <c r="D7" s="5" t="s">
        <v>123</v>
      </c>
      <c r="E7" s="5" t="s">
        <v>124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2</v>
      </c>
      <c r="Q7" s="5" t="s">
        <v>2</v>
      </c>
      <c r="R7" s="5" t="s">
        <v>61</v>
      </c>
      <c r="S7" s="5" t="s">
        <v>62</v>
      </c>
      <c r="T7" s="5" t="s">
        <v>44</v>
      </c>
    </row>
    <row r="8" spans="1:20" x14ac:dyDescent="0.2">
      <c r="C8" t="s">
        <v>63</v>
      </c>
      <c r="D8" s="4" t="s">
        <v>29</v>
      </c>
      <c r="E8" s="4" t="s">
        <v>64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</row>
    <row r="9" spans="1:20" x14ac:dyDescent="0.2">
      <c r="C9" t="s">
        <v>65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</row>
    <row r="10" spans="1:20" x14ac:dyDescent="0.2">
      <c r="A10" t="s">
        <v>68</v>
      </c>
      <c r="B10" t="s">
        <v>125</v>
      </c>
      <c r="C10" t="s">
        <v>126</v>
      </c>
      <c r="D10">
        <v>223318301</v>
      </c>
      <c r="E10">
        <v>193169660</v>
      </c>
      <c r="S10" t="str">
        <f ca="1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68</v>
      </c>
      <c r="B11" t="s">
        <v>127</v>
      </c>
      <c r="C11" t="s">
        <v>128</v>
      </c>
      <c r="D11">
        <v>-124565642</v>
      </c>
      <c r="E11">
        <v>-102888360</v>
      </c>
      <c r="S11" t="str">
        <f ca="1"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 spans="1:20" x14ac:dyDescent="0.2">
      <c r="A12" t="s">
        <v>74</v>
      </c>
      <c r="B12" t="s">
        <v>129</v>
      </c>
      <c r="C12" t="s">
        <v>2</v>
      </c>
      <c r="D12">
        <v>98752659</v>
      </c>
      <c r="E12">
        <v>90281300</v>
      </c>
      <c r="R12" t="s">
        <v>130</v>
      </c>
      <c r="S12" t="str">
        <f>IF($R12="","",IF(AND(IF(OR(ISNUMBER(D12),D12="-"),ABS(N(D12)-(SUM(D10,D11)))&lt;=1,TRUE),IF(OR(ISNUMBER(E12),E12="-"),ABS(N(E12)-(SUM(E10,E11)))&lt;=1,TRUE)),"✓","✗"))</f>
        <v>✓</v>
      </c>
    </row>
    <row r="13" spans="1:20" x14ac:dyDescent="0.2">
      <c r="A13" t="s">
        <v>68</v>
      </c>
      <c r="B13" t="s">
        <v>131</v>
      </c>
      <c r="C13" t="s">
        <v>132</v>
      </c>
      <c r="D13">
        <v>-40332801</v>
      </c>
      <c r="E13">
        <v>-36024775</v>
      </c>
      <c r="S13" t="str">
        <f ca="1"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 spans="1:20" x14ac:dyDescent="0.2">
      <c r="A14" t="s">
        <v>68</v>
      </c>
      <c r="B14" t="s">
        <v>133</v>
      </c>
      <c r="C14" t="s">
        <v>134</v>
      </c>
      <c r="D14">
        <v>-15783668</v>
      </c>
      <c r="E14">
        <v>-16410739</v>
      </c>
      <c r="S14" t="str">
        <f ca="1"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 spans="1:20" x14ac:dyDescent="0.2">
      <c r="A15" t="s">
        <v>68</v>
      </c>
      <c r="B15" t="s">
        <v>135</v>
      </c>
      <c r="C15" t="s">
        <v>81</v>
      </c>
      <c r="D15">
        <v>-3922182</v>
      </c>
      <c r="E15">
        <v>-6937063</v>
      </c>
      <c r="S15" t="str">
        <f ca="1"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 spans="1:20" x14ac:dyDescent="0.2">
      <c r="A16" t="s">
        <v>68</v>
      </c>
      <c r="B16" t="s">
        <v>136</v>
      </c>
      <c r="C16" t="s">
        <v>73</v>
      </c>
      <c r="D16">
        <v>-2231338</v>
      </c>
      <c r="E16">
        <v>-933571</v>
      </c>
      <c r="S16" t="str">
        <f ca="1"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 spans="1:20" x14ac:dyDescent="0.2">
      <c r="A17" t="s">
        <v>68</v>
      </c>
      <c r="B17" t="s">
        <v>137</v>
      </c>
      <c r="C17" t="s">
        <v>2</v>
      </c>
      <c r="D17">
        <v>803607</v>
      </c>
      <c r="E17" t="s">
        <v>108</v>
      </c>
      <c r="S17" t="str">
        <f ca="1"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 spans="1:20" x14ac:dyDescent="0.2">
      <c r="A18" t="s">
        <v>74</v>
      </c>
      <c r="B18" t="s">
        <v>138</v>
      </c>
      <c r="C18" t="s">
        <v>2</v>
      </c>
      <c r="D18">
        <v>37286277</v>
      </c>
      <c r="E18">
        <v>29975152</v>
      </c>
      <c r="R18" t="s">
        <v>139</v>
      </c>
      <c r="S18" t="str">
        <f>IF($R18="","",IF(AND(IF(OR(ISNUMBER(D18),D18="-"),ABS(N(D18)-(SUM(D12,D13,D14,D15,D16,D17)))&lt;=1,TRUE),IF(OR(ISNUMBER(E18),E18="-"),ABS(N(E18)-(SUM(E12,E13,E14,E15,E16,E17)))&lt;=1,TRUE)),"✓","✗"))</f>
        <v>✓</v>
      </c>
    </row>
    <row r="19" spans="1:20" x14ac:dyDescent="0.2">
      <c r="A19" t="s">
        <v>68</v>
      </c>
      <c r="B19" t="s">
        <v>140</v>
      </c>
      <c r="C19" t="s">
        <v>141</v>
      </c>
      <c r="D19">
        <v>-654283</v>
      </c>
      <c r="E19">
        <v>-349178</v>
      </c>
      <c r="S19" t="str">
        <f ca="1"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 spans="1:20" x14ac:dyDescent="0.2">
      <c r="A20" t="s">
        <v>68</v>
      </c>
      <c r="B20" t="s">
        <v>142</v>
      </c>
      <c r="C20" t="s">
        <v>143</v>
      </c>
      <c r="D20">
        <v>951334</v>
      </c>
      <c r="E20">
        <v>406848</v>
      </c>
      <c r="S20" t="str">
        <f ca="1"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 spans="1:20" x14ac:dyDescent="0.2">
      <c r="A21" t="s">
        <v>74</v>
      </c>
      <c r="B21" t="s">
        <v>144</v>
      </c>
      <c r="C21" t="s">
        <v>2</v>
      </c>
      <c r="D21">
        <v>37583328</v>
      </c>
      <c r="E21">
        <v>30032822</v>
      </c>
      <c r="R21" t="s">
        <v>145</v>
      </c>
      <c r="S21" t="str">
        <f>IF($R21="","",IF(AND(IF(OR(ISNUMBER(D21),D21="-"),ABS(N(D21)-(SUM(D18,D19,D20)))&lt;=1,TRUE),IF(OR(ISNUMBER(E21),E21="-"),ABS(N(E21)-(SUM(E18,E19,E20)))&lt;=1,TRUE)),"✓","✗"))</f>
        <v>✓</v>
      </c>
    </row>
    <row r="22" spans="1:20" x14ac:dyDescent="0.2">
      <c r="A22" t="s">
        <v>68</v>
      </c>
      <c r="B22" t="s">
        <v>146</v>
      </c>
      <c r="C22" t="s">
        <v>114</v>
      </c>
      <c r="D22">
        <v>-4068108</v>
      </c>
      <c r="E22">
        <v>-3348666</v>
      </c>
      <c r="S22" t="str">
        <f ca="1"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 spans="1:20" x14ac:dyDescent="0.2">
      <c r="A23" t="s">
        <v>88</v>
      </c>
      <c r="B23" t="s">
        <v>147</v>
      </c>
      <c r="C23" t="s">
        <v>2</v>
      </c>
      <c r="D23">
        <v>33515220</v>
      </c>
      <c r="E23">
        <v>26684156</v>
      </c>
      <c r="R23" t="s">
        <v>148</v>
      </c>
      <c r="S23" t="str">
        <f>IF($R23="","",IF(AND(IF(OR(ISNUMBER(D23),D23="-"),ABS(N(D23)-(SUM(D21,D22)))&lt;=1,TRUE),IF(OR(ISNUMBER(E23),E23="-"),ABS(N(E23)-(SUM(E21,E22)))&lt;=1,TRUE)),"✓","✗"))</f>
        <v>✓</v>
      </c>
    </row>
    <row r="24" spans="1:20" x14ac:dyDescent="0.2">
      <c r="A24" t="s">
        <v>66</v>
      </c>
      <c r="B24" t="s">
        <v>149</v>
      </c>
      <c r="C24" t="s">
        <v>2</v>
      </c>
      <c r="S24" t="str">
        <f ca="1"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 spans="1:20" x14ac:dyDescent="0.2">
      <c r="A25" t="s">
        <v>66</v>
      </c>
      <c r="B25" t="s">
        <v>150</v>
      </c>
      <c r="C25" t="s">
        <v>2</v>
      </c>
      <c r="S25" t="str">
        <f ca="1"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 spans="1:20" x14ac:dyDescent="0.2">
      <c r="A26" t="s">
        <v>68</v>
      </c>
      <c r="B26" t="s">
        <v>151</v>
      </c>
      <c r="C26" t="s">
        <v>102</v>
      </c>
      <c r="D26">
        <v>294182</v>
      </c>
      <c r="E26">
        <v>-498863</v>
      </c>
      <c r="S26" t="str">
        <f ca="1"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 spans="1:20" x14ac:dyDescent="0.2">
      <c r="A27" t="s">
        <v>74</v>
      </c>
      <c r="B27" t="s">
        <v>152</v>
      </c>
      <c r="C27" t="s">
        <v>2</v>
      </c>
      <c r="D27">
        <v>294182</v>
      </c>
      <c r="E27">
        <v>-498863</v>
      </c>
      <c r="R27" t="s">
        <v>153</v>
      </c>
      <c r="S27" t="str">
        <f>IF($R27="","",IF(AND(IF(OR(ISNUMBER(D27),D27="-"),ABS(N(D27)-(SUM(D26)))&lt;=1,TRUE),IF(OR(ISNUMBER(E27),E27="-"),ABS(N(E27)-(SUM(E26)))&lt;=1,TRUE)),"✓","✗"))</f>
        <v>✓</v>
      </c>
    </row>
    <row r="28" spans="1:20" x14ac:dyDescent="0.2">
      <c r="A28" t="s">
        <v>88</v>
      </c>
      <c r="B28" t="s">
        <v>154</v>
      </c>
      <c r="C28" t="s">
        <v>2</v>
      </c>
      <c r="D28">
        <v>33809402</v>
      </c>
      <c r="E28">
        <v>26185293</v>
      </c>
      <c r="R28" t="s">
        <v>155</v>
      </c>
      <c r="S28" t="str">
        <f>IF($R28="","",IF(AND(IF(OR(ISNUMBER(D28),D28="-"),ABS(N(D28)-(SUM(D23,D27)))&lt;=1,TRUE),IF(OR(ISNUMBER(E28),E28="-"),ABS(N(E28)-(SUM(E23,E27)))&lt;=1,TRUE)),"✓","✗"))</f>
        <v>✓</v>
      </c>
    </row>
    <row r="29" spans="1:20" x14ac:dyDescent="0.2">
      <c r="A29" t="s">
        <v>66</v>
      </c>
      <c r="B29" t="s">
        <v>156</v>
      </c>
      <c r="C29" t="s">
        <v>2</v>
      </c>
      <c r="S29" t="str">
        <f t="shared" ref="S29:S60" ca="1" si="0"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 spans="1:20" x14ac:dyDescent="0.2">
      <c r="A30" t="s">
        <v>68</v>
      </c>
      <c r="B30" t="s">
        <v>157</v>
      </c>
      <c r="C30" t="s">
        <v>158</v>
      </c>
      <c r="D30">
        <v>4.79</v>
      </c>
      <c r="E30">
        <v>3.81</v>
      </c>
      <c r="S30" t="str">
        <f t="shared" ca="1" si="0"/>
        <v/>
      </c>
      <c r="T30" t="s">
        <v>159</v>
      </c>
    </row>
    <row r="31" spans="1:20" x14ac:dyDescent="0.2">
      <c r="S31" t="str">
        <f t="shared" ca="1" si="0"/>
        <v/>
      </c>
    </row>
    <row r="32" spans="1:20" x14ac:dyDescent="0.2">
      <c r="S32" t="str">
        <f t="shared" ca="1" si="0"/>
        <v/>
      </c>
    </row>
    <row r="33" spans="19:19" x14ac:dyDescent="0.2">
      <c r="S33" t="str">
        <f t="shared" ca="1" si="0"/>
        <v/>
      </c>
    </row>
    <row r="34" spans="19:19" x14ac:dyDescent="0.2">
      <c r="S34" t="str">
        <f t="shared" ca="1" si="0"/>
        <v/>
      </c>
    </row>
    <row r="35" spans="19:19" x14ac:dyDescent="0.2">
      <c r="S35" t="str">
        <f t="shared" ca="1" si="0"/>
        <v/>
      </c>
    </row>
    <row r="36" spans="19:19" x14ac:dyDescent="0.2">
      <c r="S36" t="str">
        <f t="shared" ca="1" si="0"/>
        <v/>
      </c>
    </row>
    <row r="37" spans="19:19" x14ac:dyDescent="0.2">
      <c r="S37" t="str">
        <f t="shared" ca="1" si="0"/>
        <v/>
      </c>
    </row>
    <row r="38" spans="19:19" x14ac:dyDescent="0.2">
      <c r="S38" t="str">
        <f t="shared" ca="1" si="0"/>
        <v/>
      </c>
    </row>
    <row r="39" spans="19:19" x14ac:dyDescent="0.2">
      <c r="S39" t="str">
        <f t="shared" ca="1" si="0"/>
        <v/>
      </c>
    </row>
    <row r="40" spans="19:19" x14ac:dyDescent="0.2">
      <c r="S40" t="str">
        <f t="shared" ca="1" si="0"/>
        <v/>
      </c>
    </row>
    <row r="41" spans="19:19" x14ac:dyDescent="0.2">
      <c r="S41" t="str">
        <f t="shared" ca="1" si="0"/>
        <v/>
      </c>
    </row>
    <row r="42" spans="19:19" x14ac:dyDescent="0.2">
      <c r="S42" t="str">
        <f t="shared" ca="1" si="0"/>
        <v/>
      </c>
    </row>
    <row r="43" spans="19:19" x14ac:dyDescent="0.2">
      <c r="S43" t="str">
        <f t="shared" ca="1" si="0"/>
        <v/>
      </c>
    </row>
    <row r="44" spans="19:19" x14ac:dyDescent="0.2">
      <c r="S44" t="str">
        <f t="shared" ca="1" si="0"/>
        <v/>
      </c>
    </row>
    <row r="45" spans="19:19" x14ac:dyDescent="0.2">
      <c r="S45" t="str">
        <f t="shared" ca="1" si="0"/>
        <v/>
      </c>
    </row>
    <row r="46" spans="19:19" x14ac:dyDescent="0.2">
      <c r="S46" t="str">
        <f t="shared" ca="1" si="0"/>
        <v/>
      </c>
    </row>
    <row r="47" spans="19:19" x14ac:dyDescent="0.2">
      <c r="S47" t="str">
        <f t="shared" ca="1" si="0"/>
        <v/>
      </c>
    </row>
    <row r="48" spans="19:19" x14ac:dyDescent="0.2">
      <c r="S48" t="str">
        <f t="shared" ca="1" si="0"/>
        <v/>
      </c>
    </row>
    <row r="49" spans="19:19" x14ac:dyDescent="0.2">
      <c r="S49" t="str">
        <f t="shared" ca="1" si="0"/>
        <v/>
      </c>
    </row>
    <row r="50" spans="19:19" x14ac:dyDescent="0.2">
      <c r="S50" t="str">
        <f t="shared" ca="1" si="0"/>
        <v/>
      </c>
    </row>
    <row r="51" spans="19:19" x14ac:dyDescent="0.2">
      <c r="S51" t="str">
        <f t="shared" ca="1" si="0"/>
        <v/>
      </c>
    </row>
    <row r="52" spans="19:19" x14ac:dyDescent="0.2">
      <c r="S52" t="str">
        <f t="shared" ca="1" si="0"/>
        <v/>
      </c>
    </row>
    <row r="53" spans="19:19" x14ac:dyDescent="0.2">
      <c r="S53" t="str">
        <f t="shared" ca="1" si="0"/>
        <v/>
      </c>
    </row>
    <row r="54" spans="19:19" x14ac:dyDescent="0.2">
      <c r="S54" t="str">
        <f t="shared" ca="1" si="0"/>
        <v/>
      </c>
    </row>
    <row r="55" spans="19:19" x14ac:dyDescent="0.2">
      <c r="S55" t="str">
        <f t="shared" ca="1" si="0"/>
        <v/>
      </c>
    </row>
    <row r="56" spans="19:19" x14ac:dyDescent="0.2">
      <c r="S56" t="str">
        <f t="shared" ca="1" si="0"/>
        <v/>
      </c>
    </row>
    <row r="57" spans="19:19" x14ac:dyDescent="0.2">
      <c r="S57" t="str">
        <f t="shared" ca="1" si="0"/>
        <v/>
      </c>
    </row>
    <row r="58" spans="19:19" x14ac:dyDescent="0.2">
      <c r="S58" t="str">
        <f t="shared" ca="1" si="0"/>
        <v/>
      </c>
    </row>
    <row r="59" spans="19:19" x14ac:dyDescent="0.2">
      <c r="S59" t="str">
        <f t="shared" ca="1" si="0"/>
        <v/>
      </c>
    </row>
    <row r="60" spans="19:19" x14ac:dyDescent="0.2">
      <c r="S60" t="str">
        <f t="shared" ca="1" si="0"/>
        <v/>
      </c>
    </row>
    <row r="61" spans="19:19" x14ac:dyDescent="0.2">
      <c r="S61" t="str">
        <f t="shared" ref="S61:S92" ca="1" si="1"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ca="1" si="1"/>
        <v/>
      </c>
    </row>
    <row r="75" spans="19:19" x14ac:dyDescent="0.2">
      <c r="S75" t="str">
        <f t="shared" ca="1" si="1"/>
        <v/>
      </c>
    </row>
    <row r="76" spans="19:19" x14ac:dyDescent="0.2">
      <c r="S76" t="str">
        <f t="shared" ca="1" si="1"/>
        <v/>
      </c>
    </row>
    <row r="77" spans="19:19" x14ac:dyDescent="0.2">
      <c r="S77" t="str">
        <f t="shared" ca="1" si="1"/>
        <v/>
      </c>
    </row>
    <row r="78" spans="19:19" x14ac:dyDescent="0.2">
      <c r="S78" t="str">
        <f t="shared" ca="1" si="1"/>
        <v/>
      </c>
    </row>
    <row r="79" spans="19:19" x14ac:dyDescent="0.2">
      <c r="S79" t="str">
        <f t="shared" ca="1" si="1"/>
        <v/>
      </c>
    </row>
    <row r="80" spans="19:19" x14ac:dyDescent="0.2">
      <c r="S80" t="str">
        <f t="shared" ca="1" si="1"/>
        <v/>
      </c>
    </row>
    <row r="81" spans="19:19" x14ac:dyDescent="0.2">
      <c r="S81" t="str">
        <f t="shared" ca="1" si="1"/>
        <v/>
      </c>
    </row>
    <row r="82" spans="19:19" x14ac:dyDescent="0.2">
      <c r="S82" t="str">
        <f t="shared" ca="1" si="1"/>
        <v/>
      </c>
    </row>
    <row r="83" spans="19:19" x14ac:dyDescent="0.2">
      <c r="S83" t="str">
        <f t="shared" ca="1" si="1"/>
        <v/>
      </c>
    </row>
    <row r="84" spans="19:19" x14ac:dyDescent="0.2">
      <c r="S84" t="str">
        <f t="shared" ca="1" si="1"/>
        <v/>
      </c>
    </row>
    <row r="85" spans="19:19" x14ac:dyDescent="0.2">
      <c r="S85" t="str">
        <f t="shared" ca="1" si="1"/>
        <v/>
      </c>
    </row>
    <row r="86" spans="19:19" x14ac:dyDescent="0.2">
      <c r="S86" t="str">
        <f t="shared" ca="1" si="1"/>
        <v/>
      </c>
    </row>
    <row r="87" spans="19:19" x14ac:dyDescent="0.2">
      <c r="S87" t="str">
        <f t="shared" ca="1" si="1"/>
        <v/>
      </c>
    </row>
    <row r="88" spans="19:19" x14ac:dyDescent="0.2">
      <c r="S88" t="str">
        <f t="shared" ca="1" si="1"/>
        <v/>
      </c>
    </row>
    <row r="89" spans="19:19" x14ac:dyDescent="0.2">
      <c r="S89" t="str">
        <f t="shared" ca="1" si="1"/>
        <v/>
      </c>
    </row>
    <row r="90" spans="19:19" x14ac:dyDescent="0.2">
      <c r="S90" t="str">
        <f t="shared" ca="1" si="1"/>
        <v/>
      </c>
    </row>
    <row r="91" spans="19:19" x14ac:dyDescent="0.2">
      <c r="S91" t="str">
        <f t="shared" ca="1" si="1"/>
        <v/>
      </c>
    </row>
    <row r="92" spans="19:19" x14ac:dyDescent="0.2">
      <c r="S92" t="str">
        <f t="shared" ca="1" si="1"/>
        <v/>
      </c>
    </row>
    <row r="93" spans="19:19" x14ac:dyDescent="0.2">
      <c r="S93" t="str">
        <f t="shared" ref="S93:S124" ca="1" si="2"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ca="1" si="2"/>
        <v/>
      </c>
    </row>
    <row r="107" spans="19:19" x14ac:dyDescent="0.2">
      <c r="S107" t="str">
        <f t="shared" ca="1" si="2"/>
        <v/>
      </c>
    </row>
    <row r="108" spans="19:19" x14ac:dyDescent="0.2">
      <c r="S108" t="str">
        <f t="shared" ca="1" si="2"/>
        <v/>
      </c>
    </row>
    <row r="109" spans="19:19" x14ac:dyDescent="0.2">
      <c r="S109" t="str">
        <f t="shared" ca="1" si="2"/>
        <v/>
      </c>
    </row>
    <row r="110" spans="19:19" x14ac:dyDescent="0.2">
      <c r="S110" t="str">
        <f t="shared" ca="1" si="2"/>
        <v/>
      </c>
    </row>
    <row r="111" spans="19:19" x14ac:dyDescent="0.2">
      <c r="S111" t="str">
        <f t="shared" ca="1" si="2"/>
        <v/>
      </c>
    </row>
    <row r="112" spans="19:19" x14ac:dyDescent="0.2">
      <c r="S112" t="str">
        <f t="shared" ca="1" si="2"/>
        <v/>
      </c>
    </row>
    <row r="113" spans="19:19" x14ac:dyDescent="0.2">
      <c r="S113" t="str">
        <f t="shared" ca="1" si="2"/>
        <v/>
      </c>
    </row>
    <row r="114" spans="19:19" x14ac:dyDescent="0.2">
      <c r="S114" t="str">
        <f t="shared" ca="1" si="2"/>
        <v/>
      </c>
    </row>
    <row r="115" spans="19:19" x14ac:dyDescent="0.2">
      <c r="S115" t="str">
        <f t="shared" ca="1" si="2"/>
        <v/>
      </c>
    </row>
    <row r="116" spans="19:19" x14ac:dyDescent="0.2">
      <c r="S116" t="str">
        <f t="shared" ca="1" si="2"/>
        <v/>
      </c>
    </row>
    <row r="117" spans="19:19" x14ac:dyDescent="0.2">
      <c r="S117" t="str">
        <f t="shared" ca="1" si="2"/>
        <v/>
      </c>
    </row>
    <row r="118" spans="19:19" x14ac:dyDescent="0.2">
      <c r="S118" t="str">
        <f t="shared" ca="1" si="2"/>
        <v/>
      </c>
    </row>
    <row r="119" spans="19:19" x14ac:dyDescent="0.2">
      <c r="S119" t="str">
        <f t="shared" ca="1" si="2"/>
        <v/>
      </c>
    </row>
    <row r="120" spans="19:19" x14ac:dyDescent="0.2">
      <c r="S120" t="str">
        <f t="shared" ca="1" si="2"/>
        <v/>
      </c>
    </row>
    <row r="121" spans="19:19" x14ac:dyDescent="0.2">
      <c r="S121" t="str">
        <f t="shared" ca="1" si="2"/>
        <v/>
      </c>
    </row>
    <row r="122" spans="19:19" x14ac:dyDescent="0.2">
      <c r="S122" t="str">
        <f t="shared" ca="1" si="2"/>
        <v/>
      </c>
    </row>
    <row r="123" spans="19:19" x14ac:dyDescent="0.2">
      <c r="S123" t="str">
        <f t="shared" ca="1" si="2"/>
        <v/>
      </c>
    </row>
    <row r="124" spans="19:19" x14ac:dyDescent="0.2">
      <c r="S124" t="str">
        <f t="shared" ca="1" si="2"/>
        <v/>
      </c>
    </row>
    <row r="125" spans="19:19" x14ac:dyDescent="0.2">
      <c r="S125" t="str">
        <f t="shared" ref="S125:S156" ca="1" si="3"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ca="1" si="3"/>
        <v/>
      </c>
    </row>
    <row r="139" spans="19:19" x14ac:dyDescent="0.2">
      <c r="S139" t="str">
        <f t="shared" ca="1" si="3"/>
        <v/>
      </c>
    </row>
    <row r="140" spans="19:19" x14ac:dyDescent="0.2">
      <c r="S140" t="str">
        <f t="shared" ca="1" si="3"/>
        <v/>
      </c>
    </row>
    <row r="141" spans="19:19" x14ac:dyDescent="0.2">
      <c r="S141" t="str">
        <f t="shared" ca="1" si="3"/>
        <v/>
      </c>
    </row>
    <row r="142" spans="19:19" x14ac:dyDescent="0.2">
      <c r="S142" t="str">
        <f t="shared" ca="1" si="3"/>
        <v/>
      </c>
    </row>
    <row r="143" spans="19:19" x14ac:dyDescent="0.2">
      <c r="S143" t="str">
        <f t="shared" ca="1" si="3"/>
        <v/>
      </c>
    </row>
    <row r="144" spans="19:19" x14ac:dyDescent="0.2">
      <c r="S144" t="str">
        <f t="shared" ca="1" si="3"/>
        <v/>
      </c>
    </row>
    <row r="145" spans="19:19" x14ac:dyDescent="0.2">
      <c r="S145" t="str">
        <f t="shared" ca="1" si="3"/>
        <v/>
      </c>
    </row>
    <row r="146" spans="19:19" x14ac:dyDescent="0.2">
      <c r="S146" t="str">
        <f t="shared" ca="1" si="3"/>
        <v/>
      </c>
    </row>
    <row r="147" spans="19:19" x14ac:dyDescent="0.2">
      <c r="S147" t="str">
        <f t="shared" ca="1" si="3"/>
        <v/>
      </c>
    </row>
    <row r="148" spans="19:19" x14ac:dyDescent="0.2">
      <c r="S148" t="str">
        <f t="shared" ca="1" si="3"/>
        <v/>
      </c>
    </row>
    <row r="149" spans="19:19" x14ac:dyDescent="0.2">
      <c r="S149" t="str">
        <f t="shared" ca="1" si="3"/>
        <v/>
      </c>
    </row>
    <row r="150" spans="19:19" x14ac:dyDescent="0.2">
      <c r="S150" t="str">
        <f t="shared" ca="1" si="3"/>
        <v/>
      </c>
    </row>
    <row r="151" spans="19:19" x14ac:dyDescent="0.2">
      <c r="S151" t="str">
        <f t="shared" ca="1" si="3"/>
        <v/>
      </c>
    </row>
    <row r="152" spans="19:19" x14ac:dyDescent="0.2">
      <c r="S152" t="str">
        <f t="shared" ca="1" si="3"/>
        <v/>
      </c>
    </row>
    <row r="153" spans="19:19" x14ac:dyDescent="0.2">
      <c r="S153" t="str">
        <f t="shared" ca="1" si="3"/>
        <v/>
      </c>
    </row>
    <row r="154" spans="19:19" x14ac:dyDescent="0.2">
      <c r="S154" t="str">
        <f t="shared" ca="1" si="3"/>
        <v/>
      </c>
    </row>
    <row r="155" spans="19:19" x14ac:dyDescent="0.2">
      <c r="S155" t="str">
        <f t="shared" ca="1" si="3"/>
        <v/>
      </c>
    </row>
    <row r="156" spans="19:19" x14ac:dyDescent="0.2">
      <c r="S156" t="str">
        <f t="shared" ca="1" si="3"/>
        <v/>
      </c>
    </row>
    <row r="157" spans="19:19" x14ac:dyDescent="0.2">
      <c r="S157" t="str">
        <f t="shared" ref="S157:S188" ca="1" si="4"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ca="1" si="4"/>
        <v/>
      </c>
    </row>
    <row r="171" spans="19:19" x14ac:dyDescent="0.2">
      <c r="S171" t="str">
        <f t="shared" ca="1" si="4"/>
        <v/>
      </c>
    </row>
    <row r="172" spans="19:19" x14ac:dyDescent="0.2">
      <c r="S172" t="str">
        <f t="shared" ca="1" si="4"/>
        <v/>
      </c>
    </row>
    <row r="173" spans="19:19" x14ac:dyDescent="0.2">
      <c r="S173" t="str">
        <f t="shared" ca="1" si="4"/>
        <v/>
      </c>
    </row>
    <row r="174" spans="19:19" x14ac:dyDescent="0.2">
      <c r="S174" t="str">
        <f t="shared" ca="1" si="4"/>
        <v/>
      </c>
    </row>
    <row r="175" spans="19:19" x14ac:dyDescent="0.2">
      <c r="S175" t="str">
        <f t="shared" ca="1" si="4"/>
        <v/>
      </c>
    </row>
    <row r="176" spans="19:19" x14ac:dyDescent="0.2">
      <c r="S176" t="str">
        <f t="shared" ca="1" si="4"/>
        <v/>
      </c>
    </row>
    <row r="177" spans="19:19" x14ac:dyDescent="0.2">
      <c r="S177" t="str">
        <f t="shared" ca="1" si="4"/>
        <v/>
      </c>
    </row>
    <row r="178" spans="19:19" x14ac:dyDescent="0.2">
      <c r="S178" t="str">
        <f t="shared" ca="1" si="4"/>
        <v/>
      </c>
    </row>
    <row r="179" spans="19:19" x14ac:dyDescent="0.2">
      <c r="S179" t="str">
        <f t="shared" ca="1" si="4"/>
        <v/>
      </c>
    </row>
    <row r="180" spans="19:19" x14ac:dyDescent="0.2">
      <c r="S180" t="str">
        <f t="shared" ca="1" si="4"/>
        <v/>
      </c>
    </row>
    <row r="181" spans="19:19" x14ac:dyDescent="0.2">
      <c r="S181" t="str">
        <f t="shared" ca="1" si="4"/>
        <v/>
      </c>
    </row>
    <row r="182" spans="19:19" x14ac:dyDescent="0.2">
      <c r="S182" t="str">
        <f t="shared" ca="1" si="4"/>
        <v/>
      </c>
    </row>
    <row r="183" spans="19:19" x14ac:dyDescent="0.2">
      <c r="S183" t="str">
        <f t="shared" ca="1" si="4"/>
        <v/>
      </c>
    </row>
    <row r="184" spans="19:19" x14ac:dyDescent="0.2">
      <c r="S184" t="str">
        <f t="shared" ca="1" si="4"/>
        <v/>
      </c>
    </row>
    <row r="185" spans="19:19" x14ac:dyDescent="0.2">
      <c r="S185" t="str">
        <f t="shared" ca="1" si="4"/>
        <v/>
      </c>
    </row>
    <row r="186" spans="19:19" x14ac:dyDescent="0.2">
      <c r="S186" t="str">
        <f t="shared" ca="1" si="4"/>
        <v/>
      </c>
    </row>
    <row r="187" spans="19:19" x14ac:dyDescent="0.2">
      <c r="S187" t="str">
        <f t="shared" ca="1" si="4"/>
        <v/>
      </c>
    </row>
    <row r="188" spans="19:19" x14ac:dyDescent="0.2">
      <c r="S188" t="str">
        <f t="shared" ca="1" si="4"/>
        <v/>
      </c>
    </row>
    <row r="189" spans="19:19" x14ac:dyDescent="0.2">
      <c r="S189" t="str">
        <f t="shared" ref="S189:S209" ca="1" si="5"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ca="1" si="5"/>
        <v/>
      </c>
    </row>
    <row r="203" spans="19:19" x14ac:dyDescent="0.2">
      <c r="S203" t="str">
        <f t="shared" ca="1" si="5"/>
        <v/>
      </c>
    </row>
    <row r="204" spans="19:19" x14ac:dyDescent="0.2">
      <c r="S204" t="str">
        <f t="shared" ca="1" si="5"/>
        <v/>
      </c>
    </row>
    <row r="205" spans="19:19" x14ac:dyDescent="0.2">
      <c r="S205" t="str">
        <f t="shared" ca="1" si="5"/>
        <v/>
      </c>
    </row>
    <row r="206" spans="19:19" x14ac:dyDescent="0.2">
      <c r="S206" t="str">
        <f t="shared" ca="1" si="5"/>
        <v/>
      </c>
    </row>
    <row r="207" spans="19:19" x14ac:dyDescent="0.2">
      <c r="S207" t="str">
        <f t="shared" ca="1" si="5"/>
        <v/>
      </c>
    </row>
    <row r="208" spans="19:19" x14ac:dyDescent="0.2">
      <c r="S208" t="str">
        <f t="shared" ca="1" si="5"/>
        <v/>
      </c>
    </row>
    <row r="209" spans="19:19" x14ac:dyDescent="0.2">
      <c r="S209" t="str">
        <f t="shared" ca="1" si="5"/>
        <v/>
      </c>
    </row>
  </sheetData>
  <conditionalFormatting sqref="S10:S209">
    <cfRule type="cellIs" dxfId="5" priority="1" operator="equal">
      <formula>"✗"</formula>
    </cfRule>
    <cfRule type="cellIs" dxfId="4" priority="2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</dataValidation>
    <dataValidation type="list" sqref="B5" xr:uid="{00000000-0002-0000-0300-000001000000}">
      <formula1>"1,1000,1000000"</formula1>
    </dataValidation>
    <dataValidation type="list" allowBlank="1" sqref="A10:A209" xr:uid="{00000000-0002-0000-0300-000002000000}">
      <formula1>"section,item,subtotal,total"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45</v>
      </c>
      <c r="B1" s="4" t="s">
        <v>160</v>
      </c>
    </row>
    <row r="2" spans="1:20" x14ac:dyDescent="0.2">
      <c r="A2" s="3" t="s">
        <v>47</v>
      </c>
      <c r="B2" s="4" t="s">
        <v>161</v>
      </c>
    </row>
    <row r="3" spans="1:20" x14ac:dyDescent="0.2">
      <c r="A3" s="3" t="s">
        <v>49</v>
      </c>
      <c r="B3" s="4" t="s">
        <v>78</v>
      </c>
      <c r="C3" t="s">
        <v>51</v>
      </c>
    </row>
    <row r="4" spans="1:20" x14ac:dyDescent="0.2">
      <c r="A4" s="3" t="s">
        <v>52</v>
      </c>
      <c r="B4" s="4" t="s">
        <v>53</v>
      </c>
    </row>
    <row r="5" spans="1:20" x14ac:dyDescent="0.2">
      <c r="A5" s="3" t="s">
        <v>54</v>
      </c>
      <c r="B5" s="4">
        <v>1</v>
      </c>
      <c r="C5" t="s">
        <v>55</v>
      </c>
    </row>
    <row r="7" spans="1:20" ht="16" x14ac:dyDescent="0.2">
      <c r="A7" s="5" t="s">
        <v>56</v>
      </c>
      <c r="B7" s="5" t="s">
        <v>57</v>
      </c>
      <c r="C7" s="5" t="s">
        <v>58</v>
      </c>
      <c r="D7" s="5" t="s">
        <v>93</v>
      </c>
      <c r="E7" s="5" t="s">
        <v>95</v>
      </c>
      <c r="F7" s="5" t="s">
        <v>97</v>
      </c>
      <c r="G7" s="5" t="s">
        <v>162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2</v>
      </c>
      <c r="Q7" s="5" t="s">
        <v>2</v>
      </c>
      <c r="R7" s="5" t="s">
        <v>61</v>
      </c>
      <c r="S7" s="5" t="s">
        <v>62</v>
      </c>
      <c r="T7" s="5" t="s">
        <v>44</v>
      </c>
    </row>
    <row r="8" spans="1:20" x14ac:dyDescent="0.2">
      <c r="C8" t="s">
        <v>63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</row>
    <row r="9" spans="1:20" x14ac:dyDescent="0.2">
      <c r="C9" t="s">
        <v>65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</row>
    <row r="10" spans="1:20" x14ac:dyDescent="0.2">
      <c r="A10" t="s">
        <v>68</v>
      </c>
      <c r="B10" t="s">
        <v>163</v>
      </c>
      <c r="C10" t="s">
        <v>2</v>
      </c>
      <c r="D10">
        <v>70000000</v>
      </c>
      <c r="E10">
        <v>5040698</v>
      </c>
      <c r="F10">
        <v>32308841</v>
      </c>
      <c r="G10">
        <v>107349539</v>
      </c>
      <c r="S10" t="str">
        <f ca="1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 spans="1:20" x14ac:dyDescent="0.2">
      <c r="A11" t="s">
        <v>66</v>
      </c>
      <c r="B11" t="s">
        <v>164</v>
      </c>
      <c r="C11" t="s">
        <v>2</v>
      </c>
      <c r="S11" t="str">
        <f ca="1"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 spans="1:20" x14ac:dyDescent="0.2">
      <c r="A12" t="s">
        <v>68</v>
      </c>
      <c r="B12" t="s">
        <v>147</v>
      </c>
      <c r="C12" t="s">
        <v>2</v>
      </c>
      <c r="D12" t="s">
        <v>108</v>
      </c>
      <c r="E12" t="s">
        <v>108</v>
      </c>
      <c r="F12">
        <v>33515220</v>
      </c>
      <c r="G12">
        <v>33515220</v>
      </c>
      <c r="S12" t="str">
        <f ca="1"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 spans="1:20" x14ac:dyDescent="0.2">
      <c r="A13" t="s">
        <v>68</v>
      </c>
      <c r="B13" t="s">
        <v>165</v>
      </c>
      <c r="C13" t="s">
        <v>2</v>
      </c>
      <c r="D13" t="s">
        <v>108</v>
      </c>
      <c r="E13" t="s">
        <v>108</v>
      </c>
      <c r="F13">
        <v>294182</v>
      </c>
      <c r="G13">
        <v>294182</v>
      </c>
      <c r="S13" t="str">
        <f ca="1"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 spans="1:20" x14ac:dyDescent="0.2">
      <c r="A14" t="s">
        <v>74</v>
      </c>
      <c r="B14" t="s">
        <v>164</v>
      </c>
      <c r="C14" t="s">
        <v>2</v>
      </c>
      <c r="D14" t="s">
        <v>108</v>
      </c>
      <c r="E14" t="s">
        <v>108</v>
      </c>
      <c r="F14">
        <v>33809402</v>
      </c>
      <c r="G14">
        <v>33809402</v>
      </c>
      <c r="R14" t="s">
        <v>166</v>
      </c>
      <c r="S14" t="str">
        <f>IF($R14="","",IF(AND(IF(OR(ISNUMBER(D14),D14="-"),ABS(N(D14)-(SUM(D12,D13)))&lt;=1,TRUE),IF(OR(ISNUMBER(E14),E14="-"),ABS(N(E14)-(SUM(E12,E13)))&lt;=1,TRUE),IF(OR(ISNUMBER(F14),F14="-"),ABS(N(F14)-(SUM(F12,F13)))&lt;=1,TRUE),IF(OR(ISNUMBER(G14),G14="-"),ABS(N(G14)-(SUM(G12,G13)))&lt;=1,TRUE)),"✓","✗"))</f>
        <v>✓</v>
      </c>
    </row>
    <row r="15" spans="1:20" x14ac:dyDescent="0.2">
      <c r="A15" t="s">
        <v>66</v>
      </c>
      <c r="B15" t="s">
        <v>167</v>
      </c>
      <c r="C15" t="s">
        <v>2</v>
      </c>
      <c r="S15" t="str">
        <f ca="1"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 spans="1:20" x14ac:dyDescent="0.2">
      <c r="A16" t="s">
        <v>68</v>
      </c>
      <c r="B16" t="s">
        <v>168</v>
      </c>
      <c r="C16" t="s">
        <v>2</v>
      </c>
      <c r="D16" t="s">
        <v>108</v>
      </c>
      <c r="E16" t="s">
        <v>108</v>
      </c>
      <c r="F16">
        <v>-13989525</v>
      </c>
      <c r="G16">
        <v>-13989525</v>
      </c>
      <c r="S16" t="str">
        <f ca="1"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 spans="1:19" x14ac:dyDescent="0.2">
      <c r="A17" t="s">
        <v>74</v>
      </c>
      <c r="B17" t="s">
        <v>169</v>
      </c>
      <c r="C17" t="s">
        <v>2</v>
      </c>
      <c r="D17" t="s">
        <v>108</v>
      </c>
      <c r="E17" t="s">
        <v>108</v>
      </c>
      <c r="F17">
        <v>-13989525</v>
      </c>
      <c r="G17">
        <v>-13989525</v>
      </c>
      <c r="R17" t="s">
        <v>170</v>
      </c>
      <c r="S17" t="str">
        <f>IF($R17="","",IF(AND(IF(OR(ISNUMBER(D17),D17="-"),ABS(N(D17)-(SUM(D16)))&lt;=1,TRUE),IF(OR(ISNUMBER(E17),E17="-"),ABS(N(E17)-(SUM(E16)))&lt;=1,TRUE),IF(OR(ISNUMBER(F17),F17="-"),ABS(N(F17)-(SUM(F16)))&lt;=1,TRUE),IF(OR(ISNUMBER(G17),G17="-"),ABS(N(G17)-(SUM(G16)))&lt;=1,TRUE)),"✓","✗"))</f>
        <v>✓</v>
      </c>
    </row>
    <row r="18" spans="1:19" x14ac:dyDescent="0.2">
      <c r="A18" t="s">
        <v>88</v>
      </c>
      <c r="B18" t="s">
        <v>171</v>
      </c>
      <c r="C18" t="s">
        <v>2</v>
      </c>
      <c r="D18">
        <v>70000000</v>
      </c>
      <c r="E18">
        <v>5040698</v>
      </c>
      <c r="F18">
        <v>52128718</v>
      </c>
      <c r="G18">
        <v>127169416</v>
      </c>
      <c r="R18" t="s">
        <v>172</v>
      </c>
      <c r="S18" t="str">
        <f>IF($R18="","",IF(AND(IF(OR(ISNUMBER(D18),D18="-"),ABS(N(D18)-(SUM(D10,D14,D17)))&lt;=1,TRUE),IF(OR(ISNUMBER(E18),E18="-"),ABS(N(E18)-(SUM(E10,E14,E17)))&lt;=1,TRUE),IF(OR(ISNUMBER(F18),F18="-"),ABS(N(F18)-(SUM(F10,F14,F17)))&lt;=1,TRUE),IF(OR(ISNUMBER(G18),G18="-"),ABS(N(G18)-(SUM(G10,G14,G17)))&lt;=1,TRUE)),"✓","✗"))</f>
        <v>✓</v>
      </c>
    </row>
    <row r="19" spans="1:19" x14ac:dyDescent="0.2">
      <c r="A19" t="s">
        <v>68</v>
      </c>
      <c r="B19" t="s">
        <v>173</v>
      </c>
      <c r="C19" t="s">
        <v>2</v>
      </c>
      <c r="D19">
        <v>70000000</v>
      </c>
      <c r="E19">
        <v>2372282</v>
      </c>
      <c r="F19">
        <v>21041964</v>
      </c>
      <c r="G19">
        <v>93414246</v>
      </c>
      <c r="S19" t="str">
        <f ca="1"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 spans="1:19" x14ac:dyDescent="0.2">
      <c r="A20" t="s">
        <v>66</v>
      </c>
      <c r="B20" t="s">
        <v>164</v>
      </c>
      <c r="C20" t="s">
        <v>2</v>
      </c>
      <c r="S20" t="str">
        <f ca="1"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 spans="1:19" x14ac:dyDescent="0.2">
      <c r="A21" t="s">
        <v>68</v>
      </c>
      <c r="B21" t="s">
        <v>147</v>
      </c>
      <c r="C21" t="s">
        <v>2</v>
      </c>
      <c r="D21" t="s">
        <v>108</v>
      </c>
      <c r="E21" t="s">
        <v>108</v>
      </c>
      <c r="F21">
        <v>26684156</v>
      </c>
      <c r="G21">
        <v>26684156</v>
      </c>
      <c r="S21" t="str">
        <f ca="1"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 spans="1:19" x14ac:dyDescent="0.2">
      <c r="A22" t="s">
        <v>68</v>
      </c>
      <c r="B22" t="s">
        <v>165</v>
      </c>
      <c r="C22" t="s">
        <v>2</v>
      </c>
      <c r="D22" t="s">
        <v>108</v>
      </c>
      <c r="E22" t="s">
        <v>108</v>
      </c>
      <c r="F22">
        <v>-498863</v>
      </c>
      <c r="G22">
        <v>-498863</v>
      </c>
      <c r="S22" t="str">
        <f ca="1"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 spans="1:19" x14ac:dyDescent="0.2">
      <c r="A23" t="s">
        <v>74</v>
      </c>
      <c r="B23" t="s">
        <v>164</v>
      </c>
      <c r="C23" t="s">
        <v>2</v>
      </c>
      <c r="D23" t="s">
        <v>108</v>
      </c>
      <c r="E23" t="s">
        <v>108</v>
      </c>
      <c r="F23">
        <v>26185293</v>
      </c>
      <c r="G23">
        <v>26185293</v>
      </c>
      <c r="R23" t="s">
        <v>148</v>
      </c>
      <c r="S23" t="str">
        <f>IF($R23="","",IF(AND(IF(OR(ISNUMBER(D23),D23="-"),ABS(N(D23)-(SUM(D21,D22)))&lt;=1,TRUE),IF(OR(ISNUMBER(E23),E23="-"),ABS(N(E23)-(SUM(E21,E22)))&lt;=1,TRUE),IF(OR(ISNUMBER(F23),F23="-"),ABS(N(F23)-(SUM(F21,F22)))&lt;=1,TRUE),IF(OR(ISNUMBER(G23),G23="-"),ABS(N(G23)-(SUM(G21,G22)))&lt;=1,TRUE)),"✓","✗"))</f>
        <v>✓</v>
      </c>
    </row>
    <row r="24" spans="1:19" x14ac:dyDescent="0.2">
      <c r="A24" t="s">
        <v>66</v>
      </c>
      <c r="B24" t="s">
        <v>167</v>
      </c>
      <c r="C24" t="s">
        <v>2</v>
      </c>
      <c r="S24" t="str">
        <f ca="1"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 spans="1:19" x14ac:dyDescent="0.2">
      <c r="A25" t="s">
        <v>68</v>
      </c>
      <c r="B25" t="s">
        <v>174</v>
      </c>
      <c r="C25" t="s">
        <v>2</v>
      </c>
      <c r="D25" t="s">
        <v>108</v>
      </c>
      <c r="E25">
        <v>2668416</v>
      </c>
      <c r="F25">
        <v>-2668416</v>
      </c>
      <c r="G25" t="s">
        <v>108</v>
      </c>
      <c r="S25" t="str">
        <f ca="1"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 spans="1:19" x14ac:dyDescent="0.2">
      <c r="A26" t="s">
        <v>68</v>
      </c>
      <c r="B26" t="s">
        <v>168</v>
      </c>
      <c r="C26" t="s">
        <v>2</v>
      </c>
      <c r="D26" t="s">
        <v>108</v>
      </c>
      <c r="E26" t="s">
        <v>108</v>
      </c>
      <c r="F26">
        <v>-12250000</v>
      </c>
      <c r="G26">
        <v>-12250000</v>
      </c>
      <c r="S26" t="str">
        <f ca="1"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 spans="1:19" x14ac:dyDescent="0.2">
      <c r="A27" t="s">
        <v>74</v>
      </c>
      <c r="B27" t="s">
        <v>169</v>
      </c>
      <c r="C27" t="s">
        <v>2</v>
      </c>
      <c r="D27" t="s">
        <v>108</v>
      </c>
      <c r="E27">
        <v>2668416</v>
      </c>
      <c r="F27">
        <v>-14918416</v>
      </c>
      <c r="G27">
        <v>-12250000</v>
      </c>
      <c r="R27" t="s">
        <v>175</v>
      </c>
      <c r="S27" t="str">
        <f>IF($R27="","",IF(AND(IF(OR(ISNUMBER(D27),D27="-"),ABS(N(D27)-(SUM(D25,D26)))&lt;=1,TRUE),IF(OR(ISNUMBER(E27),E27="-"),ABS(N(E27)-(SUM(E25,E26)))&lt;=1,TRUE),IF(OR(ISNUMBER(F27),F27="-"),ABS(N(F27)-(SUM(F25,F26)))&lt;=1,TRUE),IF(OR(ISNUMBER(G27),G27="-"),ABS(N(G27)-(SUM(G25,G26)))&lt;=1,TRUE)),"✓","✗"))</f>
        <v>✓</v>
      </c>
    </row>
    <row r="28" spans="1:19" x14ac:dyDescent="0.2">
      <c r="A28" t="s">
        <v>88</v>
      </c>
      <c r="B28" t="s">
        <v>176</v>
      </c>
      <c r="C28" t="s">
        <v>2</v>
      </c>
      <c r="D28">
        <v>70000000</v>
      </c>
      <c r="E28">
        <v>5040698</v>
      </c>
      <c r="F28">
        <v>32308841</v>
      </c>
      <c r="G28">
        <v>107349539</v>
      </c>
      <c r="R28" t="s">
        <v>177</v>
      </c>
      <c r="S28" t="str">
        <f>IF($R28="","",IF(AND(IF(OR(ISNUMBER(D28),D28="-"),ABS(N(D28)-(SUM(D19,D23,D27)))&lt;=1,TRUE),IF(OR(ISNUMBER(E28),E28="-"),ABS(N(E28)-(SUM(E19,E23,E27)))&lt;=1,TRUE),IF(OR(ISNUMBER(F28),F28="-"),ABS(N(F28)-(SUM(F19,F23,F27)))&lt;=1,TRUE),IF(OR(ISNUMBER(G28),G28="-"),ABS(N(G28)-(SUM(G19,G23,G27)))&lt;=1,TRUE)),"✓","✗"))</f>
        <v>✓</v>
      </c>
    </row>
    <row r="29" spans="1:19" x14ac:dyDescent="0.2">
      <c r="S29" t="str">
        <f t="shared" ref="S29:S60" ca="1" si="0"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 spans="1:19" x14ac:dyDescent="0.2">
      <c r="S30" t="str">
        <f t="shared" ca="1" si="0"/>
        <v/>
      </c>
    </row>
    <row r="31" spans="1:19" x14ac:dyDescent="0.2">
      <c r="S31" t="str">
        <f t="shared" ca="1" si="0"/>
        <v/>
      </c>
    </row>
    <row r="32" spans="1:19" x14ac:dyDescent="0.2">
      <c r="S32" t="str">
        <f t="shared" ca="1" si="0"/>
        <v/>
      </c>
    </row>
    <row r="33" spans="19:19" x14ac:dyDescent="0.2">
      <c r="S33" t="str">
        <f t="shared" ca="1" si="0"/>
        <v/>
      </c>
    </row>
    <row r="34" spans="19:19" x14ac:dyDescent="0.2">
      <c r="S34" t="str">
        <f t="shared" ca="1" si="0"/>
        <v/>
      </c>
    </row>
    <row r="35" spans="19:19" x14ac:dyDescent="0.2">
      <c r="S35" t="str">
        <f t="shared" ca="1" si="0"/>
        <v/>
      </c>
    </row>
    <row r="36" spans="19:19" x14ac:dyDescent="0.2">
      <c r="S36" t="str">
        <f t="shared" ca="1" si="0"/>
        <v/>
      </c>
    </row>
    <row r="37" spans="19:19" x14ac:dyDescent="0.2">
      <c r="S37" t="str">
        <f t="shared" ca="1" si="0"/>
        <v/>
      </c>
    </row>
    <row r="38" spans="19:19" x14ac:dyDescent="0.2">
      <c r="S38" t="str">
        <f t="shared" ca="1" si="0"/>
        <v/>
      </c>
    </row>
    <row r="39" spans="19:19" x14ac:dyDescent="0.2">
      <c r="S39" t="str">
        <f t="shared" ca="1" si="0"/>
        <v/>
      </c>
    </row>
    <row r="40" spans="19:19" x14ac:dyDescent="0.2">
      <c r="S40" t="str">
        <f t="shared" ca="1" si="0"/>
        <v/>
      </c>
    </row>
    <row r="41" spans="19:19" x14ac:dyDescent="0.2">
      <c r="S41" t="str">
        <f t="shared" ca="1" si="0"/>
        <v/>
      </c>
    </row>
    <row r="42" spans="19:19" x14ac:dyDescent="0.2">
      <c r="S42" t="str">
        <f t="shared" ca="1" si="0"/>
        <v/>
      </c>
    </row>
    <row r="43" spans="19:19" x14ac:dyDescent="0.2">
      <c r="S43" t="str">
        <f t="shared" ca="1" si="0"/>
        <v/>
      </c>
    </row>
    <row r="44" spans="19:19" x14ac:dyDescent="0.2">
      <c r="S44" t="str">
        <f t="shared" ca="1" si="0"/>
        <v/>
      </c>
    </row>
    <row r="45" spans="19:19" x14ac:dyDescent="0.2">
      <c r="S45" t="str">
        <f t="shared" ca="1" si="0"/>
        <v/>
      </c>
    </row>
    <row r="46" spans="19:19" x14ac:dyDescent="0.2">
      <c r="S46" t="str">
        <f t="shared" ca="1" si="0"/>
        <v/>
      </c>
    </row>
    <row r="47" spans="19:19" x14ac:dyDescent="0.2">
      <c r="S47" t="str">
        <f t="shared" ca="1" si="0"/>
        <v/>
      </c>
    </row>
    <row r="48" spans="19:19" x14ac:dyDescent="0.2">
      <c r="S48" t="str">
        <f t="shared" ca="1" si="0"/>
        <v/>
      </c>
    </row>
    <row r="49" spans="19:19" x14ac:dyDescent="0.2">
      <c r="S49" t="str">
        <f t="shared" ca="1" si="0"/>
        <v/>
      </c>
    </row>
    <row r="50" spans="19:19" x14ac:dyDescent="0.2">
      <c r="S50" t="str">
        <f t="shared" ca="1" si="0"/>
        <v/>
      </c>
    </row>
    <row r="51" spans="19:19" x14ac:dyDescent="0.2">
      <c r="S51" t="str">
        <f t="shared" ca="1" si="0"/>
        <v/>
      </c>
    </row>
    <row r="52" spans="19:19" x14ac:dyDescent="0.2">
      <c r="S52" t="str">
        <f t="shared" ca="1" si="0"/>
        <v/>
      </c>
    </row>
    <row r="53" spans="19:19" x14ac:dyDescent="0.2">
      <c r="S53" t="str">
        <f t="shared" ca="1" si="0"/>
        <v/>
      </c>
    </row>
    <row r="54" spans="19:19" x14ac:dyDescent="0.2">
      <c r="S54" t="str">
        <f t="shared" ca="1" si="0"/>
        <v/>
      </c>
    </row>
    <row r="55" spans="19:19" x14ac:dyDescent="0.2">
      <c r="S55" t="str">
        <f t="shared" ca="1" si="0"/>
        <v/>
      </c>
    </row>
    <row r="56" spans="19:19" x14ac:dyDescent="0.2">
      <c r="S56" t="str">
        <f t="shared" ca="1" si="0"/>
        <v/>
      </c>
    </row>
    <row r="57" spans="19:19" x14ac:dyDescent="0.2">
      <c r="S57" t="str">
        <f t="shared" ca="1" si="0"/>
        <v/>
      </c>
    </row>
    <row r="58" spans="19:19" x14ac:dyDescent="0.2">
      <c r="S58" t="str">
        <f t="shared" ca="1" si="0"/>
        <v/>
      </c>
    </row>
    <row r="59" spans="19:19" x14ac:dyDescent="0.2">
      <c r="S59" t="str">
        <f t="shared" ca="1" si="0"/>
        <v/>
      </c>
    </row>
    <row r="60" spans="19:19" x14ac:dyDescent="0.2">
      <c r="S60" t="str">
        <f t="shared" ca="1" si="0"/>
        <v/>
      </c>
    </row>
    <row r="61" spans="19:19" x14ac:dyDescent="0.2">
      <c r="S61" t="str">
        <f t="shared" ref="S61:S92" ca="1" si="1"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ca="1" si="1"/>
        <v/>
      </c>
    </row>
    <row r="75" spans="19:19" x14ac:dyDescent="0.2">
      <c r="S75" t="str">
        <f t="shared" ca="1" si="1"/>
        <v/>
      </c>
    </row>
    <row r="76" spans="19:19" x14ac:dyDescent="0.2">
      <c r="S76" t="str">
        <f t="shared" ca="1" si="1"/>
        <v/>
      </c>
    </row>
    <row r="77" spans="19:19" x14ac:dyDescent="0.2">
      <c r="S77" t="str">
        <f t="shared" ca="1" si="1"/>
        <v/>
      </c>
    </row>
    <row r="78" spans="19:19" x14ac:dyDescent="0.2">
      <c r="S78" t="str">
        <f t="shared" ca="1" si="1"/>
        <v/>
      </c>
    </row>
    <row r="79" spans="19:19" x14ac:dyDescent="0.2">
      <c r="S79" t="str">
        <f t="shared" ca="1" si="1"/>
        <v/>
      </c>
    </row>
    <row r="80" spans="19:19" x14ac:dyDescent="0.2">
      <c r="S80" t="str">
        <f t="shared" ca="1" si="1"/>
        <v/>
      </c>
    </row>
    <row r="81" spans="19:19" x14ac:dyDescent="0.2">
      <c r="S81" t="str">
        <f t="shared" ca="1" si="1"/>
        <v/>
      </c>
    </row>
    <row r="82" spans="19:19" x14ac:dyDescent="0.2">
      <c r="S82" t="str">
        <f t="shared" ca="1" si="1"/>
        <v/>
      </c>
    </row>
    <row r="83" spans="19:19" x14ac:dyDescent="0.2">
      <c r="S83" t="str">
        <f t="shared" ca="1" si="1"/>
        <v/>
      </c>
    </row>
    <row r="84" spans="19:19" x14ac:dyDescent="0.2">
      <c r="S84" t="str">
        <f t="shared" ca="1" si="1"/>
        <v/>
      </c>
    </row>
    <row r="85" spans="19:19" x14ac:dyDescent="0.2">
      <c r="S85" t="str">
        <f t="shared" ca="1" si="1"/>
        <v/>
      </c>
    </row>
    <row r="86" spans="19:19" x14ac:dyDescent="0.2">
      <c r="S86" t="str">
        <f t="shared" ca="1" si="1"/>
        <v/>
      </c>
    </row>
    <row r="87" spans="19:19" x14ac:dyDescent="0.2">
      <c r="S87" t="str">
        <f t="shared" ca="1" si="1"/>
        <v/>
      </c>
    </row>
    <row r="88" spans="19:19" x14ac:dyDescent="0.2">
      <c r="S88" t="str">
        <f t="shared" ca="1" si="1"/>
        <v/>
      </c>
    </row>
    <row r="89" spans="19:19" x14ac:dyDescent="0.2">
      <c r="S89" t="str">
        <f t="shared" ca="1" si="1"/>
        <v/>
      </c>
    </row>
    <row r="90" spans="19:19" x14ac:dyDescent="0.2">
      <c r="S90" t="str">
        <f t="shared" ca="1" si="1"/>
        <v/>
      </c>
    </row>
    <row r="91" spans="19:19" x14ac:dyDescent="0.2">
      <c r="S91" t="str">
        <f t="shared" ca="1" si="1"/>
        <v/>
      </c>
    </row>
    <row r="92" spans="19:19" x14ac:dyDescent="0.2">
      <c r="S92" t="str">
        <f t="shared" ca="1" si="1"/>
        <v/>
      </c>
    </row>
    <row r="93" spans="19:19" x14ac:dyDescent="0.2">
      <c r="S93" t="str">
        <f t="shared" ref="S93:S124" ca="1" si="2"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ca="1" si="2"/>
        <v/>
      </c>
    </row>
    <row r="107" spans="19:19" x14ac:dyDescent="0.2">
      <c r="S107" t="str">
        <f t="shared" ca="1" si="2"/>
        <v/>
      </c>
    </row>
    <row r="108" spans="19:19" x14ac:dyDescent="0.2">
      <c r="S108" t="str">
        <f t="shared" ca="1" si="2"/>
        <v/>
      </c>
    </row>
    <row r="109" spans="19:19" x14ac:dyDescent="0.2">
      <c r="S109" t="str">
        <f t="shared" ca="1" si="2"/>
        <v/>
      </c>
    </row>
    <row r="110" spans="19:19" x14ac:dyDescent="0.2">
      <c r="S110" t="str">
        <f t="shared" ca="1" si="2"/>
        <v/>
      </c>
    </row>
    <row r="111" spans="19:19" x14ac:dyDescent="0.2">
      <c r="S111" t="str">
        <f t="shared" ca="1" si="2"/>
        <v/>
      </c>
    </row>
    <row r="112" spans="19:19" x14ac:dyDescent="0.2">
      <c r="S112" t="str">
        <f t="shared" ca="1" si="2"/>
        <v/>
      </c>
    </row>
    <row r="113" spans="19:19" x14ac:dyDescent="0.2">
      <c r="S113" t="str">
        <f t="shared" ca="1" si="2"/>
        <v/>
      </c>
    </row>
    <row r="114" spans="19:19" x14ac:dyDescent="0.2">
      <c r="S114" t="str">
        <f t="shared" ca="1" si="2"/>
        <v/>
      </c>
    </row>
    <row r="115" spans="19:19" x14ac:dyDescent="0.2">
      <c r="S115" t="str">
        <f t="shared" ca="1" si="2"/>
        <v/>
      </c>
    </row>
    <row r="116" spans="19:19" x14ac:dyDescent="0.2">
      <c r="S116" t="str">
        <f t="shared" ca="1" si="2"/>
        <v/>
      </c>
    </row>
    <row r="117" spans="19:19" x14ac:dyDescent="0.2">
      <c r="S117" t="str">
        <f t="shared" ca="1" si="2"/>
        <v/>
      </c>
    </row>
    <row r="118" spans="19:19" x14ac:dyDescent="0.2">
      <c r="S118" t="str">
        <f t="shared" ca="1" si="2"/>
        <v/>
      </c>
    </row>
    <row r="119" spans="19:19" x14ac:dyDescent="0.2">
      <c r="S119" t="str">
        <f t="shared" ca="1" si="2"/>
        <v/>
      </c>
    </row>
    <row r="120" spans="19:19" x14ac:dyDescent="0.2">
      <c r="S120" t="str">
        <f t="shared" ca="1" si="2"/>
        <v/>
      </c>
    </row>
    <row r="121" spans="19:19" x14ac:dyDescent="0.2">
      <c r="S121" t="str">
        <f t="shared" ca="1" si="2"/>
        <v/>
      </c>
    </row>
    <row r="122" spans="19:19" x14ac:dyDescent="0.2">
      <c r="S122" t="str">
        <f t="shared" ca="1" si="2"/>
        <v/>
      </c>
    </row>
    <row r="123" spans="19:19" x14ac:dyDescent="0.2">
      <c r="S123" t="str">
        <f t="shared" ca="1" si="2"/>
        <v/>
      </c>
    </row>
    <row r="124" spans="19:19" x14ac:dyDescent="0.2">
      <c r="S124" t="str">
        <f t="shared" ca="1" si="2"/>
        <v/>
      </c>
    </row>
    <row r="125" spans="19:19" x14ac:dyDescent="0.2">
      <c r="S125" t="str">
        <f t="shared" ref="S125:S156" ca="1" si="3"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ca="1" si="3"/>
        <v/>
      </c>
    </row>
    <row r="139" spans="19:19" x14ac:dyDescent="0.2">
      <c r="S139" t="str">
        <f t="shared" ca="1" si="3"/>
        <v/>
      </c>
    </row>
    <row r="140" spans="19:19" x14ac:dyDescent="0.2">
      <c r="S140" t="str">
        <f t="shared" ca="1" si="3"/>
        <v/>
      </c>
    </row>
    <row r="141" spans="19:19" x14ac:dyDescent="0.2">
      <c r="S141" t="str">
        <f t="shared" ca="1" si="3"/>
        <v/>
      </c>
    </row>
    <row r="142" spans="19:19" x14ac:dyDescent="0.2">
      <c r="S142" t="str">
        <f t="shared" ca="1" si="3"/>
        <v/>
      </c>
    </row>
    <row r="143" spans="19:19" x14ac:dyDescent="0.2">
      <c r="S143" t="str">
        <f t="shared" ca="1" si="3"/>
        <v/>
      </c>
    </row>
    <row r="144" spans="19:19" x14ac:dyDescent="0.2">
      <c r="S144" t="str">
        <f t="shared" ca="1" si="3"/>
        <v/>
      </c>
    </row>
    <row r="145" spans="19:19" x14ac:dyDescent="0.2">
      <c r="S145" t="str">
        <f t="shared" ca="1" si="3"/>
        <v/>
      </c>
    </row>
    <row r="146" spans="19:19" x14ac:dyDescent="0.2">
      <c r="S146" t="str">
        <f t="shared" ca="1" si="3"/>
        <v/>
      </c>
    </row>
    <row r="147" spans="19:19" x14ac:dyDescent="0.2">
      <c r="S147" t="str">
        <f t="shared" ca="1" si="3"/>
        <v/>
      </c>
    </row>
    <row r="148" spans="19:19" x14ac:dyDescent="0.2">
      <c r="S148" t="str">
        <f t="shared" ca="1" si="3"/>
        <v/>
      </c>
    </row>
    <row r="149" spans="19:19" x14ac:dyDescent="0.2">
      <c r="S149" t="str">
        <f t="shared" ca="1" si="3"/>
        <v/>
      </c>
    </row>
    <row r="150" spans="19:19" x14ac:dyDescent="0.2">
      <c r="S150" t="str">
        <f t="shared" ca="1" si="3"/>
        <v/>
      </c>
    </row>
    <row r="151" spans="19:19" x14ac:dyDescent="0.2">
      <c r="S151" t="str">
        <f t="shared" ca="1" si="3"/>
        <v/>
      </c>
    </row>
    <row r="152" spans="19:19" x14ac:dyDescent="0.2">
      <c r="S152" t="str">
        <f t="shared" ca="1" si="3"/>
        <v/>
      </c>
    </row>
    <row r="153" spans="19:19" x14ac:dyDescent="0.2">
      <c r="S153" t="str">
        <f t="shared" ca="1" si="3"/>
        <v/>
      </c>
    </row>
    <row r="154" spans="19:19" x14ac:dyDescent="0.2">
      <c r="S154" t="str">
        <f t="shared" ca="1" si="3"/>
        <v/>
      </c>
    </row>
    <row r="155" spans="19:19" x14ac:dyDescent="0.2">
      <c r="S155" t="str">
        <f t="shared" ca="1" si="3"/>
        <v/>
      </c>
    </row>
    <row r="156" spans="19:19" x14ac:dyDescent="0.2">
      <c r="S156" t="str">
        <f t="shared" ca="1" si="3"/>
        <v/>
      </c>
    </row>
    <row r="157" spans="19:19" x14ac:dyDescent="0.2">
      <c r="S157" t="str">
        <f t="shared" ref="S157:S188" ca="1" si="4"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ca="1" si="4"/>
        <v/>
      </c>
    </row>
    <row r="171" spans="19:19" x14ac:dyDescent="0.2">
      <c r="S171" t="str">
        <f t="shared" ca="1" si="4"/>
        <v/>
      </c>
    </row>
    <row r="172" spans="19:19" x14ac:dyDescent="0.2">
      <c r="S172" t="str">
        <f t="shared" ca="1" si="4"/>
        <v/>
      </c>
    </row>
    <row r="173" spans="19:19" x14ac:dyDescent="0.2">
      <c r="S173" t="str">
        <f t="shared" ca="1" si="4"/>
        <v/>
      </c>
    </row>
    <row r="174" spans="19:19" x14ac:dyDescent="0.2">
      <c r="S174" t="str">
        <f t="shared" ca="1" si="4"/>
        <v/>
      </c>
    </row>
    <row r="175" spans="19:19" x14ac:dyDescent="0.2">
      <c r="S175" t="str">
        <f t="shared" ca="1" si="4"/>
        <v/>
      </c>
    </row>
    <row r="176" spans="19:19" x14ac:dyDescent="0.2">
      <c r="S176" t="str">
        <f t="shared" ca="1" si="4"/>
        <v/>
      </c>
    </row>
    <row r="177" spans="19:19" x14ac:dyDescent="0.2">
      <c r="S177" t="str">
        <f t="shared" ca="1" si="4"/>
        <v/>
      </c>
    </row>
    <row r="178" spans="19:19" x14ac:dyDescent="0.2">
      <c r="S178" t="str">
        <f t="shared" ca="1" si="4"/>
        <v/>
      </c>
    </row>
    <row r="179" spans="19:19" x14ac:dyDescent="0.2">
      <c r="S179" t="str">
        <f t="shared" ca="1" si="4"/>
        <v/>
      </c>
    </row>
    <row r="180" spans="19:19" x14ac:dyDescent="0.2">
      <c r="S180" t="str">
        <f t="shared" ca="1" si="4"/>
        <v/>
      </c>
    </row>
    <row r="181" spans="19:19" x14ac:dyDescent="0.2">
      <c r="S181" t="str">
        <f t="shared" ca="1" si="4"/>
        <v/>
      </c>
    </row>
    <row r="182" spans="19:19" x14ac:dyDescent="0.2">
      <c r="S182" t="str">
        <f t="shared" ca="1" si="4"/>
        <v/>
      </c>
    </row>
    <row r="183" spans="19:19" x14ac:dyDescent="0.2">
      <c r="S183" t="str">
        <f t="shared" ca="1" si="4"/>
        <v/>
      </c>
    </row>
    <row r="184" spans="19:19" x14ac:dyDescent="0.2">
      <c r="S184" t="str">
        <f t="shared" ca="1" si="4"/>
        <v/>
      </c>
    </row>
    <row r="185" spans="19:19" x14ac:dyDescent="0.2">
      <c r="S185" t="str">
        <f t="shared" ca="1" si="4"/>
        <v/>
      </c>
    </row>
    <row r="186" spans="19:19" x14ac:dyDescent="0.2">
      <c r="S186" t="str">
        <f t="shared" ca="1" si="4"/>
        <v/>
      </c>
    </row>
    <row r="187" spans="19:19" x14ac:dyDescent="0.2">
      <c r="S187" t="str">
        <f t="shared" ca="1" si="4"/>
        <v/>
      </c>
    </row>
    <row r="188" spans="19:19" x14ac:dyDescent="0.2">
      <c r="S188" t="str">
        <f t="shared" ca="1" si="4"/>
        <v/>
      </c>
    </row>
    <row r="189" spans="19:19" x14ac:dyDescent="0.2">
      <c r="S189" t="str">
        <f t="shared" ref="S189:S209" ca="1" si="5"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ca="1" si="5"/>
        <v/>
      </c>
    </row>
    <row r="203" spans="19:19" x14ac:dyDescent="0.2">
      <c r="S203" t="str">
        <f t="shared" ca="1" si="5"/>
        <v/>
      </c>
    </row>
    <row r="204" spans="19:19" x14ac:dyDescent="0.2">
      <c r="S204" t="str">
        <f t="shared" ca="1" si="5"/>
        <v/>
      </c>
    </row>
    <row r="205" spans="19:19" x14ac:dyDescent="0.2">
      <c r="S205" t="str">
        <f t="shared" ca="1" si="5"/>
        <v/>
      </c>
    </row>
    <row r="206" spans="19:19" x14ac:dyDescent="0.2">
      <c r="S206" t="str">
        <f t="shared" ca="1" si="5"/>
        <v/>
      </c>
    </row>
    <row r="207" spans="19:19" x14ac:dyDescent="0.2">
      <c r="S207" t="str">
        <f t="shared" ca="1" si="5"/>
        <v/>
      </c>
    </row>
    <row r="208" spans="19:19" x14ac:dyDescent="0.2">
      <c r="S208" t="str">
        <f t="shared" ca="1" si="5"/>
        <v/>
      </c>
    </row>
    <row r="209" spans="19:19" x14ac:dyDescent="0.2">
      <c r="S209" t="str">
        <f t="shared" ca="1" si="5"/>
        <v/>
      </c>
    </row>
  </sheetData>
  <conditionalFormatting sqref="S10:S209">
    <cfRule type="cellIs" dxfId="3" priority="1" operator="equal">
      <formula>"✗"</formula>
    </cfRule>
    <cfRule type="cellIs" dxfId="2" priority="2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</dataValidation>
    <dataValidation type="list" sqref="B5" xr:uid="{00000000-0002-0000-0400-000001000000}">
      <formula1>"1,1000,1000000"</formula1>
    </dataValidation>
    <dataValidation type="list" allowBlank="1" sqref="A10:A209" xr:uid="{00000000-0002-0000-0400-000002000000}">
      <formula1>"section,item,subtotal,total"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45</v>
      </c>
      <c r="B1" s="4" t="s">
        <v>178</v>
      </c>
    </row>
    <row r="2" spans="1:20" x14ac:dyDescent="0.2">
      <c r="A2" s="3" t="s">
        <v>47</v>
      </c>
      <c r="B2" s="4" t="s">
        <v>179</v>
      </c>
    </row>
    <row r="3" spans="1:20" x14ac:dyDescent="0.2">
      <c r="A3" s="3" t="s">
        <v>49</v>
      </c>
      <c r="B3" s="4" t="s">
        <v>81</v>
      </c>
      <c r="C3" t="s">
        <v>51</v>
      </c>
    </row>
    <row r="4" spans="1:20" x14ac:dyDescent="0.2">
      <c r="A4" s="3" t="s">
        <v>52</v>
      </c>
      <c r="B4" s="4" t="s">
        <v>53</v>
      </c>
    </row>
    <row r="5" spans="1:20" x14ac:dyDescent="0.2">
      <c r="A5" s="3" t="s">
        <v>54</v>
      </c>
      <c r="B5" s="4">
        <v>1</v>
      </c>
      <c r="C5" t="s">
        <v>55</v>
      </c>
    </row>
    <row r="7" spans="1:20" ht="16" x14ac:dyDescent="0.2">
      <c r="A7" s="5" t="s">
        <v>56</v>
      </c>
      <c r="B7" s="5" t="s">
        <v>57</v>
      </c>
      <c r="C7" s="5" t="s">
        <v>58</v>
      </c>
      <c r="D7" s="5" t="s">
        <v>123</v>
      </c>
      <c r="E7" s="5" t="s">
        <v>124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2</v>
      </c>
      <c r="Q7" s="5" t="s">
        <v>2</v>
      </c>
      <c r="R7" s="5" t="s">
        <v>61</v>
      </c>
      <c r="S7" s="5" t="s">
        <v>62</v>
      </c>
      <c r="T7" s="5" t="s">
        <v>44</v>
      </c>
    </row>
    <row r="8" spans="1:20" x14ac:dyDescent="0.2">
      <c r="C8" t="s">
        <v>63</v>
      </c>
      <c r="D8" s="4" t="s">
        <v>29</v>
      </c>
      <c r="E8" s="4" t="s">
        <v>64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</row>
    <row r="9" spans="1:20" x14ac:dyDescent="0.2">
      <c r="C9" t="s">
        <v>65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</row>
    <row r="10" spans="1:20" x14ac:dyDescent="0.2">
      <c r="A10" t="s">
        <v>66</v>
      </c>
      <c r="B10" t="s">
        <v>180</v>
      </c>
      <c r="C10" t="s">
        <v>2</v>
      </c>
      <c r="S10" t="str">
        <f t="shared" ref="S10:S20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68</v>
      </c>
      <c r="B11" t="s">
        <v>144</v>
      </c>
      <c r="C11" t="s">
        <v>2</v>
      </c>
      <c r="D11">
        <v>37583328</v>
      </c>
      <c r="E11">
        <v>30032822</v>
      </c>
      <c r="S11" t="str">
        <f t="shared" ca="1" si="0"/>
        <v/>
      </c>
    </row>
    <row r="12" spans="1:20" x14ac:dyDescent="0.2">
      <c r="A12" t="s">
        <v>66</v>
      </c>
      <c r="B12" t="s">
        <v>181</v>
      </c>
      <c r="C12" t="s">
        <v>2</v>
      </c>
      <c r="S12" t="str">
        <f t="shared" ca="1" si="0"/>
        <v/>
      </c>
    </row>
    <row r="13" spans="1:20" x14ac:dyDescent="0.2">
      <c r="A13" t="s">
        <v>68</v>
      </c>
      <c r="B13" t="s">
        <v>182</v>
      </c>
      <c r="C13" t="s">
        <v>70</v>
      </c>
      <c r="D13">
        <v>417583</v>
      </c>
      <c r="E13">
        <v>279631</v>
      </c>
      <c r="S13" t="str">
        <f t="shared" ca="1" si="0"/>
        <v/>
      </c>
    </row>
    <row r="14" spans="1:20" x14ac:dyDescent="0.2">
      <c r="A14" t="s">
        <v>68</v>
      </c>
      <c r="B14" t="s">
        <v>183</v>
      </c>
      <c r="C14" t="s">
        <v>50</v>
      </c>
      <c r="D14">
        <v>1117674</v>
      </c>
      <c r="E14">
        <v>573877</v>
      </c>
      <c r="S14" t="str">
        <f t="shared" ca="1" si="0"/>
        <v/>
      </c>
    </row>
    <row r="15" spans="1:20" x14ac:dyDescent="0.2">
      <c r="A15" t="s">
        <v>68</v>
      </c>
      <c r="B15" t="s">
        <v>184</v>
      </c>
      <c r="C15" t="s">
        <v>73</v>
      </c>
      <c r="D15">
        <v>2231338</v>
      </c>
      <c r="E15">
        <v>933571</v>
      </c>
      <c r="S15" t="str">
        <f t="shared" ca="1" si="0"/>
        <v/>
      </c>
    </row>
    <row r="16" spans="1:20" x14ac:dyDescent="0.2">
      <c r="A16" t="s">
        <v>68</v>
      </c>
      <c r="B16" t="s">
        <v>185</v>
      </c>
      <c r="C16" t="s">
        <v>78</v>
      </c>
      <c r="D16">
        <v>133550</v>
      </c>
      <c r="E16">
        <v>3158723</v>
      </c>
      <c r="S16" t="str">
        <f t="shared" ca="1" si="0"/>
        <v/>
      </c>
    </row>
    <row r="17" spans="1:19" x14ac:dyDescent="0.2">
      <c r="A17" t="s">
        <v>68</v>
      </c>
      <c r="B17" t="s">
        <v>186</v>
      </c>
      <c r="C17" t="s">
        <v>81</v>
      </c>
      <c r="D17">
        <v>3922182</v>
      </c>
      <c r="E17">
        <v>6937063</v>
      </c>
      <c r="S17" t="str">
        <f t="shared" ca="1" si="0"/>
        <v/>
      </c>
    </row>
    <row r="18" spans="1:19" x14ac:dyDescent="0.2">
      <c r="A18" t="s">
        <v>68</v>
      </c>
      <c r="B18" t="s">
        <v>187</v>
      </c>
      <c r="C18" t="s">
        <v>102</v>
      </c>
      <c r="D18">
        <v>1079177</v>
      </c>
      <c r="E18">
        <v>922984</v>
      </c>
      <c r="S18" t="str">
        <f t="shared" ca="1" si="0"/>
        <v/>
      </c>
    </row>
    <row r="19" spans="1:19" x14ac:dyDescent="0.2">
      <c r="A19" t="s">
        <v>68</v>
      </c>
      <c r="B19" t="s">
        <v>188</v>
      </c>
      <c r="C19" t="s">
        <v>126</v>
      </c>
      <c r="D19">
        <v>-3304113</v>
      </c>
      <c r="E19">
        <v>-2283403</v>
      </c>
      <c r="S19" t="str">
        <f t="shared" ca="1" si="0"/>
        <v/>
      </c>
    </row>
    <row r="20" spans="1:19" x14ac:dyDescent="0.2">
      <c r="A20" t="s">
        <v>68</v>
      </c>
      <c r="B20" t="s">
        <v>140</v>
      </c>
      <c r="C20" t="s">
        <v>2</v>
      </c>
      <c r="D20">
        <v>447667</v>
      </c>
      <c r="E20">
        <v>245292</v>
      </c>
      <c r="S20" t="str">
        <f t="shared" ca="1" si="0"/>
        <v/>
      </c>
    </row>
    <row r="21" spans="1:19" x14ac:dyDescent="0.2">
      <c r="A21" t="s">
        <v>74</v>
      </c>
      <c r="B21" t="s">
        <v>2</v>
      </c>
      <c r="C21" t="s">
        <v>2</v>
      </c>
      <c r="D21">
        <v>43628386</v>
      </c>
      <c r="E21">
        <v>40800560</v>
      </c>
      <c r="R21" t="s">
        <v>189</v>
      </c>
      <c r="S21" t="str">
        <f>IF($R21="","",IF(AND(IF(OR(ISNUMBER(D21),D21="-"),ABS(N(D21)-(SUM(D11,D13,D14,D15,D16,D17,D18,D19,D20)))&lt;=1,TRUE),IF(OR(ISNUMBER(E21),E21="-"),ABS(N(E21)-(SUM(E11,E13,E14,E15,E16,E17,E18,E19,E20)))&lt;=1,TRUE)),"✓","✗"))</f>
        <v>✓</v>
      </c>
    </row>
    <row r="22" spans="1:19" x14ac:dyDescent="0.2">
      <c r="A22" t="s">
        <v>66</v>
      </c>
      <c r="B22" t="s">
        <v>190</v>
      </c>
      <c r="C22" t="s">
        <v>2</v>
      </c>
      <c r="S22" t="str">
        <f t="shared" ref="S22:S30" ca="1" si="1"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 spans="1:19" x14ac:dyDescent="0.2">
      <c r="A23" t="s">
        <v>68</v>
      </c>
      <c r="B23" t="s">
        <v>191</v>
      </c>
      <c r="C23" t="s">
        <v>2</v>
      </c>
      <c r="D23">
        <v>-1057989</v>
      </c>
      <c r="E23">
        <v>-3771680</v>
      </c>
      <c r="S23" t="str">
        <f t="shared" ca="1" si="1"/>
        <v/>
      </c>
    </row>
    <row r="24" spans="1:19" x14ac:dyDescent="0.2">
      <c r="A24" t="s">
        <v>68</v>
      </c>
      <c r="B24" t="s">
        <v>77</v>
      </c>
      <c r="C24" t="s">
        <v>2</v>
      </c>
      <c r="D24">
        <v>1279546</v>
      </c>
      <c r="E24">
        <v>-24427890</v>
      </c>
      <c r="S24" t="str">
        <f t="shared" ca="1" si="1"/>
        <v/>
      </c>
    </row>
    <row r="25" spans="1:19" x14ac:dyDescent="0.2">
      <c r="A25" t="s">
        <v>68</v>
      </c>
      <c r="B25" t="s">
        <v>80</v>
      </c>
      <c r="C25" t="s">
        <v>2</v>
      </c>
      <c r="D25">
        <v>-12298815</v>
      </c>
      <c r="E25">
        <v>-9476226</v>
      </c>
      <c r="S25" t="str">
        <f t="shared" ca="1" si="1"/>
        <v/>
      </c>
    </row>
    <row r="26" spans="1:19" x14ac:dyDescent="0.2">
      <c r="A26" t="s">
        <v>68</v>
      </c>
      <c r="B26" t="s">
        <v>192</v>
      </c>
      <c r="C26" t="s">
        <v>2</v>
      </c>
      <c r="D26" t="s">
        <v>108</v>
      </c>
      <c r="E26">
        <v>-547510</v>
      </c>
      <c r="S26" t="str">
        <f t="shared" ca="1" si="1"/>
        <v/>
      </c>
    </row>
    <row r="27" spans="1:19" x14ac:dyDescent="0.2">
      <c r="A27" t="s">
        <v>68</v>
      </c>
      <c r="B27" t="s">
        <v>82</v>
      </c>
      <c r="C27" t="s">
        <v>2</v>
      </c>
      <c r="D27">
        <v>-4140126</v>
      </c>
      <c r="E27">
        <v>3321054</v>
      </c>
      <c r="S27" t="str">
        <f t="shared" ca="1" si="1"/>
        <v/>
      </c>
    </row>
    <row r="28" spans="1:19" x14ac:dyDescent="0.2">
      <c r="A28" t="s">
        <v>68</v>
      </c>
      <c r="B28" t="s">
        <v>107</v>
      </c>
      <c r="C28" t="s">
        <v>2</v>
      </c>
      <c r="D28">
        <v>511387</v>
      </c>
      <c r="E28">
        <v>-246622</v>
      </c>
      <c r="S28" t="str">
        <f t="shared" ca="1" si="1"/>
        <v/>
      </c>
    </row>
    <row r="29" spans="1:19" x14ac:dyDescent="0.2">
      <c r="A29" t="s">
        <v>68</v>
      </c>
      <c r="B29" t="s">
        <v>110</v>
      </c>
      <c r="C29" t="s">
        <v>2</v>
      </c>
      <c r="D29">
        <v>12184887</v>
      </c>
      <c r="E29">
        <v>5313563</v>
      </c>
      <c r="S29" t="str">
        <f t="shared" ca="1" si="1"/>
        <v/>
      </c>
    </row>
    <row r="30" spans="1:19" x14ac:dyDescent="0.2">
      <c r="A30" t="s">
        <v>68</v>
      </c>
      <c r="B30" t="s">
        <v>193</v>
      </c>
      <c r="C30" t="s">
        <v>2</v>
      </c>
      <c r="D30">
        <v>-955283</v>
      </c>
      <c r="E30">
        <v>-623598</v>
      </c>
      <c r="S30" t="str">
        <f t="shared" ca="1" si="1"/>
        <v/>
      </c>
    </row>
    <row r="31" spans="1:19" x14ac:dyDescent="0.2">
      <c r="A31" t="s">
        <v>74</v>
      </c>
      <c r="B31" t="s">
        <v>194</v>
      </c>
      <c r="C31" t="s">
        <v>2</v>
      </c>
      <c r="D31">
        <v>39151993</v>
      </c>
      <c r="E31">
        <v>10341651</v>
      </c>
      <c r="R31" t="s">
        <v>195</v>
      </c>
      <c r="S31" t="str">
        <f>IF($R31="","",IF(AND(IF(OR(ISNUMBER(D31),D31="-"),ABS(N(D31)-(SUM(D21,D23,D24,D25,D26,D27,D28,D29,D30)))&lt;=1,TRUE),IF(OR(ISNUMBER(E31),E31="-"),ABS(N(E31)-(SUM(E21,E23,E24,E25,E26,E27,E28,E29,E30)))&lt;=1,TRUE)),"✓","✗"))</f>
        <v>✓</v>
      </c>
    </row>
    <row r="32" spans="1:19" x14ac:dyDescent="0.2">
      <c r="A32" t="s">
        <v>68</v>
      </c>
      <c r="B32" t="s">
        <v>196</v>
      </c>
      <c r="C32" t="s">
        <v>114</v>
      </c>
      <c r="D32">
        <v>-1907629</v>
      </c>
      <c r="E32">
        <v>-1838524</v>
      </c>
      <c r="S32" t="str">
        <f ca="1"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 spans="1:19" x14ac:dyDescent="0.2">
      <c r="A33" t="s">
        <v>68</v>
      </c>
      <c r="B33" t="s">
        <v>197</v>
      </c>
      <c r="C33" t="s">
        <v>102</v>
      </c>
      <c r="D33">
        <v>-592395</v>
      </c>
      <c r="E33">
        <v>-133018</v>
      </c>
      <c r="S33" t="str">
        <f ca="1"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 spans="1:19" x14ac:dyDescent="0.2">
      <c r="A34" t="s">
        <v>88</v>
      </c>
      <c r="B34" t="s">
        <v>198</v>
      </c>
      <c r="C34" t="s">
        <v>2</v>
      </c>
      <c r="D34">
        <v>36651969</v>
      </c>
      <c r="E34">
        <v>8370109</v>
      </c>
      <c r="R34" t="s">
        <v>199</v>
      </c>
      <c r="S34" t="str">
        <f>IF($R34="","",IF(AND(IF(OR(ISNUMBER(D34),D34="-"),ABS(N(D34)-(SUM(D31,D32,D33)))&lt;=1,TRUE),IF(OR(ISNUMBER(E34),E34="-"),ABS(N(E34)-(SUM(E31,E32,E33)))&lt;=1,TRUE)),"✓","✗"))</f>
        <v>✓</v>
      </c>
    </row>
    <row r="35" spans="1:19" x14ac:dyDescent="0.2">
      <c r="A35" t="s">
        <v>66</v>
      </c>
      <c r="B35" t="s">
        <v>200</v>
      </c>
      <c r="C35" t="s">
        <v>2</v>
      </c>
      <c r="S35" t="str">
        <f ca="1"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 spans="1:19" x14ac:dyDescent="0.2">
      <c r="A36" t="s">
        <v>68</v>
      </c>
      <c r="B36" t="s">
        <v>201</v>
      </c>
      <c r="C36" t="s">
        <v>70</v>
      </c>
      <c r="D36">
        <v>-1933602</v>
      </c>
      <c r="E36">
        <v>-814466</v>
      </c>
      <c r="S36" t="str">
        <f ca="1"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 spans="1:19" x14ac:dyDescent="0.2">
      <c r="A37" t="s">
        <v>88</v>
      </c>
      <c r="B37" t="s">
        <v>202</v>
      </c>
      <c r="C37" t="s">
        <v>2</v>
      </c>
      <c r="D37">
        <v>-1933602</v>
      </c>
      <c r="E37">
        <v>-814466</v>
      </c>
      <c r="R37" t="s">
        <v>203</v>
      </c>
      <c r="S37" t="str">
        <f>IF($R37="","",IF(AND(IF(OR(ISNUMBER(D37),D37="-"),ABS(N(D37)-(SUM(D36)))&lt;=1,TRUE),IF(OR(ISNUMBER(E37),E37="-"),ABS(N(E37)-(SUM(E36)))&lt;=1,TRUE)),"✓","✗"))</f>
        <v>✓</v>
      </c>
    </row>
    <row r="38" spans="1:19" x14ac:dyDescent="0.2">
      <c r="A38" t="s">
        <v>66</v>
      </c>
      <c r="B38" t="s">
        <v>204</v>
      </c>
      <c r="C38" t="s">
        <v>2</v>
      </c>
      <c r="S38" t="str">
        <f ca="1"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 spans="1:19" x14ac:dyDescent="0.2">
      <c r="A39" t="s">
        <v>68</v>
      </c>
      <c r="B39" t="s">
        <v>205</v>
      </c>
      <c r="C39" t="s">
        <v>2</v>
      </c>
      <c r="D39">
        <v>-647170</v>
      </c>
      <c r="E39">
        <v>-401214</v>
      </c>
      <c r="S39" t="str">
        <f ca="1"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 spans="1:19" x14ac:dyDescent="0.2">
      <c r="A40" t="s">
        <v>68</v>
      </c>
      <c r="B40" t="s">
        <v>206</v>
      </c>
      <c r="C40" t="s">
        <v>207</v>
      </c>
      <c r="D40">
        <v>-13989525</v>
      </c>
      <c r="E40">
        <v>-12250000</v>
      </c>
      <c r="S40" t="str">
        <f ca="1"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 spans="1:19" x14ac:dyDescent="0.2">
      <c r="A41" t="s">
        <v>88</v>
      </c>
      <c r="B41" t="s">
        <v>208</v>
      </c>
      <c r="C41" t="s">
        <v>2</v>
      </c>
      <c r="D41">
        <v>-14636695</v>
      </c>
      <c r="E41">
        <v>-12651214</v>
      </c>
      <c r="R41" t="s">
        <v>209</v>
      </c>
      <c r="S41" t="str">
        <f>IF($R41="","",IF(AND(IF(OR(ISNUMBER(D41),D41="-"),ABS(N(D41)-(SUM(D39,D40)))&lt;=1,TRUE),IF(OR(ISNUMBER(E41),E41="-"),ABS(N(E41)-(SUM(E39,E40)))&lt;=1,TRUE)),"✓","✗"))</f>
        <v>✓</v>
      </c>
    </row>
    <row r="42" spans="1:19" x14ac:dyDescent="0.2">
      <c r="A42" t="s">
        <v>88</v>
      </c>
      <c r="B42" t="s">
        <v>210</v>
      </c>
      <c r="C42" t="s">
        <v>2</v>
      </c>
      <c r="D42">
        <v>20081672</v>
      </c>
      <c r="E42">
        <v>-5095571</v>
      </c>
      <c r="R42" t="s">
        <v>211</v>
      </c>
      <c r="S42" t="str">
        <f>IF($R42="","",IF(AND(IF(OR(ISNUMBER(D42),D42="-"),ABS(N(D42)-(SUM(D34,D37,D41)))&lt;=1,TRUE),IF(OR(ISNUMBER(E42),E42="-"),ABS(N(E42)-(SUM(E34,E37,E41)))&lt;=1,TRUE)),"✓","✗"))</f>
        <v>✓</v>
      </c>
    </row>
    <row r="43" spans="1:19" x14ac:dyDescent="0.2">
      <c r="A43" t="s">
        <v>68</v>
      </c>
      <c r="B43" t="s">
        <v>212</v>
      </c>
      <c r="C43" t="s">
        <v>85</v>
      </c>
      <c r="D43">
        <v>23320980</v>
      </c>
      <c r="E43">
        <v>28416551</v>
      </c>
      <c r="S43" t="str">
        <f ca="1"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 spans="1:19" x14ac:dyDescent="0.2">
      <c r="A44" t="s">
        <v>88</v>
      </c>
      <c r="B44" t="s">
        <v>213</v>
      </c>
      <c r="C44" t="s">
        <v>85</v>
      </c>
      <c r="D44">
        <v>43402652</v>
      </c>
      <c r="E44">
        <v>23320980</v>
      </c>
      <c r="R44" t="s">
        <v>214</v>
      </c>
      <c r="S44" t="str">
        <f>IF($R44="","",IF(AND(IF(OR(ISNUMBER(D44),D44="-"),ABS(N(D44)-(SUM(D42,D43)))&lt;=1,TRUE),IF(OR(ISNUMBER(E44),E44="-"),ABS(N(E44)-(SUM(E42,E43)))&lt;=1,TRUE)),"✓","✗"))</f>
        <v>✓</v>
      </c>
    </row>
    <row r="45" spans="1:19" x14ac:dyDescent="0.2">
      <c r="S45" t="str">
        <f t="shared" ref="S45:S76" ca="1" si="2"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 spans="1:19" x14ac:dyDescent="0.2">
      <c r="S46" t="str">
        <f t="shared" ca="1" si="2"/>
        <v/>
      </c>
    </row>
    <row r="47" spans="1:19" x14ac:dyDescent="0.2">
      <c r="S47" t="str">
        <f t="shared" ca="1" si="2"/>
        <v/>
      </c>
    </row>
    <row r="48" spans="1:19" x14ac:dyDescent="0.2">
      <c r="S48" t="str">
        <f t="shared" ca="1" si="2"/>
        <v/>
      </c>
    </row>
    <row r="49" spans="19:19" x14ac:dyDescent="0.2">
      <c r="S49" t="str">
        <f t="shared" ca="1" si="2"/>
        <v/>
      </c>
    </row>
    <row r="50" spans="19:19" x14ac:dyDescent="0.2">
      <c r="S50" t="str">
        <f t="shared" ca="1" si="2"/>
        <v/>
      </c>
    </row>
    <row r="51" spans="19:19" x14ac:dyDescent="0.2">
      <c r="S51" t="str">
        <f t="shared" ca="1" si="2"/>
        <v/>
      </c>
    </row>
    <row r="52" spans="19:19" x14ac:dyDescent="0.2">
      <c r="S52" t="str">
        <f t="shared" ca="1" si="2"/>
        <v/>
      </c>
    </row>
    <row r="53" spans="19:19" x14ac:dyDescent="0.2">
      <c r="S53" t="str">
        <f t="shared" ca="1" si="2"/>
        <v/>
      </c>
    </row>
    <row r="54" spans="19:19" x14ac:dyDescent="0.2">
      <c r="S54" t="str">
        <f t="shared" ca="1" si="2"/>
        <v/>
      </c>
    </row>
    <row r="55" spans="19:19" x14ac:dyDescent="0.2">
      <c r="S55" t="str">
        <f t="shared" ca="1" si="2"/>
        <v/>
      </c>
    </row>
    <row r="56" spans="19:19" x14ac:dyDescent="0.2">
      <c r="S56" t="str">
        <f t="shared" ca="1" si="2"/>
        <v/>
      </c>
    </row>
    <row r="57" spans="19:19" x14ac:dyDescent="0.2">
      <c r="S57" t="str">
        <f t="shared" ca="1" si="2"/>
        <v/>
      </c>
    </row>
    <row r="58" spans="19:19" x14ac:dyDescent="0.2">
      <c r="S58" t="str">
        <f t="shared" ca="1" si="2"/>
        <v/>
      </c>
    </row>
    <row r="59" spans="19:19" x14ac:dyDescent="0.2">
      <c r="S59" t="str">
        <f t="shared" ca="1" si="2"/>
        <v/>
      </c>
    </row>
    <row r="60" spans="19:19" x14ac:dyDescent="0.2">
      <c r="S60" t="str">
        <f t="shared" ca="1" si="2"/>
        <v/>
      </c>
    </row>
    <row r="61" spans="19:19" x14ac:dyDescent="0.2">
      <c r="S61" t="str">
        <f t="shared" ca="1" si="2"/>
        <v/>
      </c>
    </row>
    <row r="62" spans="19:19" x14ac:dyDescent="0.2">
      <c r="S62" t="str">
        <f t="shared" ca="1" si="2"/>
        <v/>
      </c>
    </row>
    <row r="63" spans="19:19" x14ac:dyDescent="0.2">
      <c r="S63" t="str">
        <f t="shared" ca="1" si="2"/>
        <v/>
      </c>
    </row>
    <row r="64" spans="19:19" x14ac:dyDescent="0.2">
      <c r="S64" t="str">
        <f t="shared" ca="1" si="2"/>
        <v/>
      </c>
    </row>
    <row r="65" spans="19:19" x14ac:dyDescent="0.2">
      <c r="S65" t="str">
        <f t="shared" ca="1" si="2"/>
        <v/>
      </c>
    </row>
    <row r="66" spans="19:19" x14ac:dyDescent="0.2">
      <c r="S66" t="str">
        <f t="shared" ca="1" si="2"/>
        <v/>
      </c>
    </row>
    <row r="67" spans="19:19" x14ac:dyDescent="0.2">
      <c r="S67" t="str">
        <f t="shared" ca="1" si="2"/>
        <v/>
      </c>
    </row>
    <row r="68" spans="19:19" x14ac:dyDescent="0.2">
      <c r="S68" t="str">
        <f t="shared" ca="1" si="2"/>
        <v/>
      </c>
    </row>
    <row r="69" spans="19:19" x14ac:dyDescent="0.2">
      <c r="S69" t="str">
        <f t="shared" ca="1" si="2"/>
        <v/>
      </c>
    </row>
    <row r="70" spans="19:19" x14ac:dyDescent="0.2">
      <c r="S70" t="str">
        <f t="shared" ca="1" si="2"/>
        <v/>
      </c>
    </row>
    <row r="71" spans="19:19" x14ac:dyDescent="0.2">
      <c r="S71" t="str">
        <f t="shared" ca="1" si="2"/>
        <v/>
      </c>
    </row>
    <row r="72" spans="19:19" x14ac:dyDescent="0.2">
      <c r="S72" t="str">
        <f t="shared" ca="1" si="2"/>
        <v/>
      </c>
    </row>
    <row r="73" spans="19:19" x14ac:dyDescent="0.2">
      <c r="S73" t="str">
        <f t="shared" ca="1" si="2"/>
        <v/>
      </c>
    </row>
    <row r="74" spans="19:19" x14ac:dyDescent="0.2">
      <c r="S74" t="str">
        <f t="shared" ca="1" si="2"/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ref="S77:S108" ca="1" si="3"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 spans="19:19" x14ac:dyDescent="0.2">
      <c r="S78" t="str">
        <f t="shared" ca="1" si="3"/>
        <v/>
      </c>
    </row>
    <row r="79" spans="19:19" x14ac:dyDescent="0.2">
      <c r="S79" t="str">
        <f t="shared" ca="1" si="3"/>
        <v/>
      </c>
    </row>
    <row r="80" spans="19:19" x14ac:dyDescent="0.2">
      <c r="S80" t="str">
        <f t="shared" ca="1" si="3"/>
        <v/>
      </c>
    </row>
    <row r="81" spans="19:19" x14ac:dyDescent="0.2">
      <c r="S81" t="str">
        <f t="shared" ca="1" si="3"/>
        <v/>
      </c>
    </row>
    <row r="82" spans="19:19" x14ac:dyDescent="0.2">
      <c r="S82" t="str">
        <f t="shared" ca="1" si="3"/>
        <v/>
      </c>
    </row>
    <row r="83" spans="19:19" x14ac:dyDescent="0.2">
      <c r="S83" t="str">
        <f t="shared" ca="1" si="3"/>
        <v/>
      </c>
    </row>
    <row r="84" spans="19:19" x14ac:dyDescent="0.2">
      <c r="S84" t="str">
        <f t="shared" ca="1" si="3"/>
        <v/>
      </c>
    </row>
    <row r="85" spans="19:19" x14ac:dyDescent="0.2">
      <c r="S85" t="str">
        <f t="shared" ca="1" si="3"/>
        <v/>
      </c>
    </row>
    <row r="86" spans="19:19" x14ac:dyDescent="0.2">
      <c r="S86" t="str">
        <f t="shared" ca="1" si="3"/>
        <v/>
      </c>
    </row>
    <row r="87" spans="19:19" x14ac:dyDescent="0.2">
      <c r="S87" t="str">
        <f t="shared" ca="1" si="3"/>
        <v/>
      </c>
    </row>
    <row r="88" spans="19:19" x14ac:dyDescent="0.2">
      <c r="S88" t="str">
        <f t="shared" ca="1" si="3"/>
        <v/>
      </c>
    </row>
    <row r="89" spans="19:19" x14ac:dyDescent="0.2">
      <c r="S89" t="str">
        <f t="shared" ca="1" si="3"/>
        <v/>
      </c>
    </row>
    <row r="90" spans="19:19" x14ac:dyDescent="0.2">
      <c r="S90" t="str">
        <f t="shared" ca="1" si="3"/>
        <v/>
      </c>
    </row>
    <row r="91" spans="19:19" x14ac:dyDescent="0.2">
      <c r="S91" t="str">
        <f t="shared" ca="1" si="3"/>
        <v/>
      </c>
    </row>
    <row r="92" spans="19:19" x14ac:dyDescent="0.2">
      <c r="S92" t="str">
        <f t="shared" ca="1" si="3"/>
        <v/>
      </c>
    </row>
    <row r="93" spans="19:19" x14ac:dyDescent="0.2">
      <c r="S93" t="str">
        <f t="shared" ca="1" si="3"/>
        <v/>
      </c>
    </row>
    <row r="94" spans="19:19" x14ac:dyDescent="0.2">
      <c r="S94" t="str">
        <f t="shared" ca="1" si="3"/>
        <v/>
      </c>
    </row>
    <row r="95" spans="19:19" x14ac:dyDescent="0.2">
      <c r="S95" t="str">
        <f t="shared" ca="1" si="3"/>
        <v/>
      </c>
    </row>
    <row r="96" spans="19:19" x14ac:dyDescent="0.2">
      <c r="S96" t="str">
        <f t="shared" ca="1" si="3"/>
        <v/>
      </c>
    </row>
    <row r="97" spans="19:19" x14ac:dyDescent="0.2">
      <c r="S97" t="str">
        <f t="shared" ca="1" si="3"/>
        <v/>
      </c>
    </row>
    <row r="98" spans="19:19" x14ac:dyDescent="0.2">
      <c r="S98" t="str">
        <f t="shared" ca="1" si="3"/>
        <v/>
      </c>
    </row>
    <row r="99" spans="19:19" x14ac:dyDescent="0.2">
      <c r="S99" t="str">
        <f t="shared" ca="1" si="3"/>
        <v/>
      </c>
    </row>
    <row r="100" spans="19:19" x14ac:dyDescent="0.2">
      <c r="S100" t="str">
        <f t="shared" ca="1" si="3"/>
        <v/>
      </c>
    </row>
    <row r="101" spans="19:19" x14ac:dyDescent="0.2">
      <c r="S101" t="str">
        <f t="shared" ca="1" si="3"/>
        <v/>
      </c>
    </row>
    <row r="102" spans="19:19" x14ac:dyDescent="0.2">
      <c r="S102" t="str">
        <f t="shared" ca="1" si="3"/>
        <v/>
      </c>
    </row>
    <row r="103" spans="19:19" x14ac:dyDescent="0.2">
      <c r="S103" t="str">
        <f t="shared" ca="1" si="3"/>
        <v/>
      </c>
    </row>
    <row r="104" spans="19:19" x14ac:dyDescent="0.2">
      <c r="S104" t="str">
        <f t="shared" ca="1" si="3"/>
        <v/>
      </c>
    </row>
    <row r="105" spans="19:19" x14ac:dyDescent="0.2">
      <c r="S105" t="str">
        <f t="shared" ca="1" si="3"/>
        <v/>
      </c>
    </row>
    <row r="106" spans="19:19" x14ac:dyDescent="0.2">
      <c r="S106" t="str">
        <f t="shared" ca="1" si="3"/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ref="S109:S140" ca="1" si="4"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 spans="19:19" x14ac:dyDescent="0.2">
      <c r="S110" t="str">
        <f t="shared" ca="1" si="4"/>
        <v/>
      </c>
    </row>
    <row r="111" spans="19:19" x14ac:dyDescent="0.2">
      <c r="S111" t="str">
        <f t="shared" ca="1" si="4"/>
        <v/>
      </c>
    </row>
    <row r="112" spans="19:19" x14ac:dyDescent="0.2">
      <c r="S112" t="str">
        <f t="shared" ca="1" si="4"/>
        <v/>
      </c>
    </row>
    <row r="113" spans="19:19" x14ac:dyDescent="0.2">
      <c r="S113" t="str">
        <f t="shared" ca="1" si="4"/>
        <v/>
      </c>
    </row>
    <row r="114" spans="19:19" x14ac:dyDescent="0.2">
      <c r="S114" t="str">
        <f t="shared" ca="1" si="4"/>
        <v/>
      </c>
    </row>
    <row r="115" spans="19:19" x14ac:dyDescent="0.2">
      <c r="S115" t="str">
        <f t="shared" ca="1" si="4"/>
        <v/>
      </c>
    </row>
    <row r="116" spans="19:19" x14ac:dyDescent="0.2">
      <c r="S116" t="str">
        <f t="shared" ca="1" si="4"/>
        <v/>
      </c>
    </row>
    <row r="117" spans="19:19" x14ac:dyDescent="0.2">
      <c r="S117" t="str">
        <f t="shared" ca="1" si="4"/>
        <v/>
      </c>
    </row>
    <row r="118" spans="19:19" x14ac:dyDescent="0.2">
      <c r="S118" t="str">
        <f t="shared" ca="1" si="4"/>
        <v/>
      </c>
    </row>
    <row r="119" spans="19:19" x14ac:dyDescent="0.2">
      <c r="S119" t="str">
        <f t="shared" ca="1" si="4"/>
        <v/>
      </c>
    </row>
    <row r="120" spans="19:19" x14ac:dyDescent="0.2">
      <c r="S120" t="str">
        <f t="shared" ca="1" si="4"/>
        <v/>
      </c>
    </row>
    <row r="121" spans="19:19" x14ac:dyDescent="0.2">
      <c r="S121" t="str">
        <f t="shared" ca="1" si="4"/>
        <v/>
      </c>
    </row>
    <row r="122" spans="19:19" x14ac:dyDescent="0.2">
      <c r="S122" t="str">
        <f t="shared" ca="1" si="4"/>
        <v/>
      </c>
    </row>
    <row r="123" spans="19:19" x14ac:dyDescent="0.2">
      <c r="S123" t="str">
        <f t="shared" ca="1" si="4"/>
        <v/>
      </c>
    </row>
    <row r="124" spans="19:19" x14ac:dyDescent="0.2">
      <c r="S124" t="str">
        <f t="shared" ca="1" si="4"/>
        <v/>
      </c>
    </row>
    <row r="125" spans="19:19" x14ac:dyDescent="0.2">
      <c r="S125" t="str">
        <f t="shared" ca="1" si="4"/>
        <v/>
      </c>
    </row>
    <row r="126" spans="19:19" x14ac:dyDescent="0.2">
      <c r="S126" t="str">
        <f t="shared" ca="1" si="4"/>
        <v/>
      </c>
    </row>
    <row r="127" spans="19:19" x14ac:dyDescent="0.2">
      <c r="S127" t="str">
        <f t="shared" ca="1" si="4"/>
        <v/>
      </c>
    </row>
    <row r="128" spans="19:19" x14ac:dyDescent="0.2">
      <c r="S128" t="str">
        <f t="shared" ca="1" si="4"/>
        <v/>
      </c>
    </row>
    <row r="129" spans="19:19" x14ac:dyDescent="0.2">
      <c r="S129" t="str">
        <f t="shared" ca="1" si="4"/>
        <v/>
      </c>
    </row>
    <row r="130" spans="19:19" x14ac:dyDescent="0.2">
      <c r="S130" t="str">
        <f t="shared" ca="1" si="4"/>
        <v/>
      </c>
    </row>
    <row r="131" spans="19:19" x14ac:dyDescent="0.2">
      <c r="S131" t="str">
        <f t="shared" ca="1" si="4"/>
        <v/>
      </c>
    </row>
    <row r="132" spans="19:19" x14ac:dyDescent="0.2">
      <c r="S132" t="str">
        <f t="shared" ca="1" si="4"/>
        <v/>
      </c>
    </row>
    <row r="133" spans="19:19" x14ac:dyDescent="0.2">
      <c r="S133" t="str">
        <f t="shared" ca="1" si="4"/>
        <v/>
      </c>
    </row>
    <row r="134" spans="19:19" x14ac:dyDescent="0.2">
      <c r="S134" t="str">
        <f t="shared" ca="1" si="4"/>
        <v/>
      </c>
    </row>
    <row r="135" spans="19:19" x14ac:dyDescent="0.2">
      <c r="S135" t="str">
        <f t="shared" ca="1" si="4"/>
        <v/>
      </c>
    </row>
    <row r="136" spans="19:19" x14ac:dyDescent="0.2">
      <c r="S136" t="str">
        <f t="shared" ca="1" si="4"/>
        <v/>
      </c>
    </row>
    <row r="137" spans="19:19" x14ac:dyDescent="0.2">
      <c r="S137" t="str">
        <f t="shared" ca="1" si="4"/>
        <v/>
      </c>
    </row>
    <row r="138" spans="19:19" x14ac:dyDescent="0.2">
      <c r="S138" t="str">
        <f t="shared" ca="1" si="4"/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ref="S141:S172" ca="1" si="5"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 spans="19:19" x14ac:dyDescent="0.2">
      <c r="S142" t="str">
        <f t="shared" ca="1" si="5"/>
        <v/>
      </c>
    </row>
    <row r="143" spans="19:19" x14ac:dyDescent="0.2">
      <c r="S143" t="str">
        <f t="shared" ca="1" si="5"/>
        <v/>
      </c>
    </row>
    <row r="144" spans="19:19" x14ac:dyDescent="0.2">
      <c r="S144" t="str">
        <f t="shared" ca="1" si="5"/>
        <v/>
      </c>
    </row>
    <row r="145" spans="19:19" x14ac:dyDescent="0.2">
      <c r="S145" t="str">
        <f t="shared" ca="1" si="5"/>
        <v/>
      </c>
    </row>
    <row r="146" spans="19:19" x14ac:dyDescent="0.2">
      <c r="S146" t="str">
        <f t="shared" ca="1" si="5"/>
        <v/>
      </c>
    </row>
    <row r="147" spans="19:19" x14ac:dyDescent="0.2">
      <c r="S147" t="str">
        <f t="shared" ca="1" si="5"/>
        <v/>
      </c>
    </row>
    <row r="148" spans="19:19" x14ac:dyDescent="0.2">
      <c r="S148" t="str">
        <f t="shared" ca="1" si="5"/>
        <v/>
      </c>
    </row>
    <row r="149" spans="19:19" x14ac:dyDescent="0.2">
      <c r="S149" t="str">
        <f t="shared" ca="1" si="5"/>
        <v/>
      </c>
    </row>
    <row r="150" spans="19:19" x14ac:dyDescent="0.2">
      <c r="S150" t="str">
        <f t="shared" ca="1" si="5"/>
        <v/>
      </c>
    </row>
    <row r="151" spans="19:19" x14ac:dyDescent="0.2">
      <c r="S151" t="str">
        <f t="shared" ca="1" si="5"/>
        <v/>
      </c>
    </row>
    <row r="152" spans="19:19" x14ac:dyDescent="0.2">
      <c r="S152" t="str">
        <f t="shared" ca="1" si="5"/>
        <v/>
      </c>
    </row>
    <row r="153" spans="19:19" x14ac:dyDescent="0.2">
      <c r="S153" t="str">
        <f t="shared" ca="1" si="5"/>
        <v/>
      </c>
    </row>
    <row r="154" spans="19:19" x14ac:dyDescent="0.2">
      <c r="S154" t="str">
        <f t="shared" ca="1" si="5"/>
        <v/>
      </c>
    </row>
    <row r="155" spans="19:19" x14ac:dyDescent="0.2">
      <c r="S155" t="str">
        <f t="shared" ca="1" si="5"/>
        <v/>
      </c>
    </row>
    <row r="156" spans="19:19" x14ac:dyDescent="0.2">
      <c r="S156" t="str">
        <f t="shared" ca="1" si="5"/>
        <v/>
      </c>
    </row>
    <row r="157" spans="19:19" x14ac:dyDescent="0.2">
      <c r="S157" t="str">
        <f t="shared" ca="1" si="5"/>
        <v/>
      </c>
    </row>
    <row r="158" spans="19:19" x14ac:dyDescent="0.2">
      <c r="S158" t="str">
        <f t="shared" ca="1" si="5"/>
        <v/>
      </c>
    </row>
    <row r="159" spans="19:19" x14ac:dyDescent="0.2">
      <c r="S159" t="str">
        <f t="shared" ca="1" si="5"/>
        <v/>
      </c>
    </row>
    <row r="160" spans="19:19" x14ac:dyDescent="0.2">
      <c r="S160" t="str">
        <f t="shared" ca="1" si="5"/>
        <v/>
      </c>
    </row>
    <row r="161" spans="19:19" x14ac:dyDescent="0.2">
      <c r="S161" t="str">
        <f t="shared" ca="1" si="5"/>
        <v/>
      </c>
    </row>
    <row r="162" spans="19:19" x14ac:dyDescent="0.2">
      <c r="S162" t="str">
        <f t="shared" ca="1" si="5"/>
        <v/>
      </c>
    </row>
    <row r="163" spans="19:19" x14ac:dyDescent="0.2">
      <c r="S163" t="str">
        <f t="shared" ca="1" si="5"/>
        <v/>
      </c>
    </row>
    <row r="164" spans="19:19" x14ac:dyDescent="0.2">
      <c r="S164" t="str">
        <f t="shared" ca="1" si="5"/>
        <v/>
      </c>
    </row>
    <row r="165" spans="19:19" x14ac:dyDescent="0.2">
      <c r="S165" t="str">
        <f t="shared" ca="1" si="5"/>
        <v/>
      </c>
    </row>
    <row r="166" spans="19:19" x14ac:dyDescent="0.2">
      <c r="S166" t="str">
        <f t="shared" ca="1" si="5"/>
        <v/>
      </c>
    </row>
    <row r="167" spans="19:19" x14ac:dyDescent="0.2">
      <c r="S167" t="str">
        <f t="shared" ca="1" si="5"/>
        <v/>
      </c>
    </row>
    <row r="168" spans="19:19" x14ac:dyDescent="0.2">
      <c r="S168" t="str">
        <f t="shared" ca="1" si="5"/>
        <v/>
      </c>
    </row>
    <row r="169" spans="19:19" x14ac:dyDescent="0.2">
      <c r="S169" t="str">
        <f t="shared" ca="1" si="5"/>
        <v/>
      </c>
    </row>
    <row r="170" spans="19:19" x14ac:dyDescent="0.2">
      <c r="S170" t="str">
        <f t="shared" ca="1" si="5"/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ref="S173:S209" ca="1" si="6"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 spans="19:19" x14ac:dyDescent="0.2">
      <c r="S174" t="str">
        <f t="shared" ca="1" si="6"/>
        <v/>
      </c>
    </row>
    <row r="175" spans="19:19" x14ac:dyDescent="0.2">
      <c r="S175" t="str">
        <f t="shared" ca="1" si="6"/>
        <v/>
      </c>
    </row>
    <row r="176" spans="19:19" x14ac:dyDescent="0.2">
      <c r="S176" t="str">
        <f t="shared" ca="1" si="6"/>
        <v/>
      </c>
    </row>
    <row r="177" spans="19:19" x14ac:dyDescent="0.2">
      <c r="S177" t="str">
        <f t="shared" ca="1" si="6"/>
        <v/>
      </c>
    </row>
    <row r="178" spans="19:19" x14ac:dyDescent="0.2">
      <c r="S178" t="str">
        <f t="shared" ca="1" si="6"/>
        <v/>
      </c>
    </row>
    <row r="179" spans="19:19" x14ac:dyDescent="0.2">
      <c r="S179" t="str">
        <f t="shared" ca="1" si="6"/>
        <v/>
      </c>
    </row>
    <row r="180" spans="19:19" x14ac:dyDescent="0.2">
      <c r="S180" t="str">
        <f t="shared" ca="1" si="6"/>
        <v/>
      </c>
    </row>
    <row r="181" spans="19:19" x14ac:dyDescent="0.2">
      <c r="S181" t="str">
        <f t="shared" ca="1" si="6"/>
        <v/>
      </c>
    </row>
    <row r="182" spans="19:19" x14ac:dyDescent="0.2">
      <c r="S182" t="str">
        <f t="shared" ca="1" si="6"/>
        <v/>
      </c>
    </row>
    <row r="183" spans="19:19" x14ac:dyDescent="0.2">
      <c r="S183" t="str">
        <f t="shared" ca="1" si="6"/>
        <v/>
      </c>
    </row>
    <row r="184" spans="19:19" x14ac:dyDescent="0.2">
      <c r="S184" t="str">
        <f t="shared" ca="1" si="6"/>
        <v/>
      </c>
    </row>
    <row r="185" spans="19:19" x14ac:dyDescent="0.2">
      <c r="S185" t="str">
        <f t="shared" ca="1" si="6"/>
        <v/>
      </c>
    </row>
    <row r="186" spans="19:19" x14ac:dyDescent="0.2">
      <c r="S186" t="str">
        <f t="shared" ca="1" si="6"/>
        <v/>
      </c>
    </row>
    <row r="187" spans="19:19" x14ac:dyDescent="0.2">
      <c r="S187" t="str">
        <f t="shared" ca="1" si="6"/>
        <v/>
      </c>
    </row>
    <row r="188" spans="19:19" x14ac:dyDescent="0.2">
      <c r="S188" t="str">
        <f t="shared" ca="1" si="6"/>
        <v/>
      </c>
    </row>
    <row r="189" spans="19:19" x14ac:dyDescent="0.2">
      <c r="S189" t="str">
        <f t="shared" ca="1" si="6"/>
        <v/>
      </c>
    </row>
    <row r="190" spans="19:19" x14ac:dyDescent="0.2">
      <c r="S190" t="str">
        <f t="shared" ca="1" si="6"/>
        <v/>
      </c>
    </row>
    <row r="191" spans="19:19" x14ac:dyDescent="0.2">
      <c r="S191" t="str">
        <f t="shared" ca="1" si="6"/>
        <v/>
      </c>
    </row>
    <row r="192" spans="19:19" x14ac:dyDescent="0.2">
      <c r="S192" t="str">
        <f t="shared" ca="1" si="6"/>
        <v/>
      </c>
    </row>
    <row r="193" spans="19:19" x14ac:dyDescent="0.2">
      <c r="S193" t="str">
        <f t="shared" ca="1" si="6"/>
        <v/>
      </c>
    </row>
    <row r="194" spans="19:19" x14ac:dyDescent="0.2">
      <c r="S194" t="str">
        <f t="shared" ca="1" si="6"/>
        <v/>
      </c>
    </row>
    <row r="195" spans="19:19" x14ac:dyDescent="0.2">
      <c r="S195" t="str">
        <f t="shared" ca="1" si="6"/>
        <v/>
      </c>
    </row>
    <row r="196" spans="19:19" x14ac:dyDescent="0.2">
      <c r="S196" t="str">
        <f t="shared" ca="1" si="6"/>
        <v/>
      </c>
    </row>
    <row r="197" spans="19:19" x14ac:dyDescent="0.2">
      <c r="S197" t="str">
        <f t="shared" ca="1" si="6"/>
        <v/>
      </c>
    </row>
    <row r="198" spans="19:19" x14ac:dyDescent="0.2">
      <c r="S198" t="str">
        <f t="shared" ca="1" si="6"/>
        <v/>
      </c>
    </row>
    <row r="199" spans="19:19" x14ac:dyDescent="0.2">
      <c r="S199" t="str">
        <f t="shared" ca="1" si="6"/>
        <v/>
      </c>
    </row>
    <row r="200" spans="19:19" x14ac:dyDescent="0.2">
      <c r="S200" t="str">
        <f t="shared" ca="1" si="6"/>
        <v/>
      </c>
    </row>
    <row r="201" spans="19:19" x14ac:dyDescent="0.2">
      <c r="S201" t="str">
        <f t="shared" ca="1" si="6"/>
        <v/>
      </c>
    </row>
    <row r="202" spans="19:19" x14ac:dyDescent="0.2">
      <c r="S202" t="str">
        <f t="shared" ca="1" si="6"/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1" priority="1" operator="equal">
      <formula>"✗"</formula>
    </cfRule>
    <cfRule type="cellIs" dxfId="0" priority="2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</dataValidation>
    <dataValidation type="list" sqref="B5" xr:uid="{00000000-0002-0000-0500-000001000000}">
      <formula1>"1,1000,1000000"</formula1>
    </dataValidation>
    <dataValidation type="list" allowBlank="1" sqref="A10:A209" xr:uid="{00000000-0002-0000-0500-000002000000}">
      <formula1>"section,item,subtotal,total"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filing</vt:lpstr>
      <vt:lpstr>1_financial_position</vt:lpstr>
      <vt:lpstr>2_income_and_comprehensive_inco</vt:lpstr>
      <vt:lpstr>3_changes_in_equity</vt:lpstr>
      <vt:lpstr>4_cash_flows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Bushra Asseri</cp:lastModifiedBy>
  <dcterms:modified xsi:type="dcterms:W3CDTF">2026-10-02T17:08:48Z</dcterms:modified>
</cp:coreProperties>
</file>