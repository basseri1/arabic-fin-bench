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ownloads/"/>
    </mc:Choice>
  </mc:AlternateContent>
  <xr:revisionPtr revIDLastSave="0" documentId="13_ncr:1_{401ADCB3-0216-384B-8D88-BA224A1850C1}" xr6:coauthVersionLast="47" xr6:coauthVersionMax="47" xr10:uidLastSave="{00000000-0000-0000-0000-000000000000}"/>
  <bookViews>
    <workbookView xWindow="0" yWindow="660" windowWidth="30240" windowHeight="17360" activeTab="2" xr2:uid="{00000000-000D-0000-FFFF-FFFF00000000}"/>
  </bookViews>
  <sheets>
    <sheet name="README" sheetId="1" r:id="rId1"/>
    <sheet name="filing" sheetId="2" r:id="rId2"/>
    <sheet name="1_financial_position" sheetId="3" r:id="rId3"/>
    <sheet name="2_income_and_comprehensive_inco" sheetId="4" r:id="rId4"/>
    <sheet name="3_changes_in_net_assets" sheetId="5" r:id="rId5"/>
    <sheet name="4_cash_flows" sheetId="6" r:id="rId6"/>
    <sheet name="5_oth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9" i="7" l="1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</calcChain>
</file>

<file path=xl/sharedStrings.xml><?xml version="1.0" encoding="utf-8"?>
<sst xmlns="http://schemas.openxmlformats.org/spreadsheetml/2006/main" count="624" uniqueCount="180">
  <si>
    <t>Ground-truth audit — sedco_capital_reit_FY2022. Full instructions: README.md in the packet.</t>
  </si>
  <si>
    <t>تدقيق البيانات المرجعية — اكتب الأرقام كما هي مطبوعة في الصفحات، دون الرجوع إلى أي نسخة سابقة.</t>
  </si>
  <si>
    <t/>
  </si>
  <si>
    <t>1. On the 'filing' sheet, write your name in 'annotator'.</t>
  </si>
  <si>
    <t>2. Each statement sheet already has the rows, labels, note references, column headers and periods. The figure cells are empty.</t>
  </si>
  <si>
    <t>3. Type every figure from the page images (pages/ folder) or the PDF (filings/ folder), exactly as printed:</t>
  </si>
  <si>
    <t xml:space="preserve">   Western digits; (1,234) or -1234 for a negative; - for a printed dash; leave a cell empty when nothing is printed;</t>
  </si>
  <si>
    <t xml:space="preserve">   a decimal point, never a comma, for decimals (0.86, not 0,86); never rescale (thousands stay thousands).</t>
  </si>
  <si>
    <t>4. Do not insert, delete or move rows or columns. If a printed line is missing, add it below the last row, with its</t>
  </si>
  <si>
    <t xml:space="preserve">   kind, label and figures, and write MISSING ROW in the comment column.</t>
  </si>
  <si>
    <t>5. If a label, note reference, header or period differs from the page, write the printed version in the comment</t>
  </si>
  <si>
    <t xml:space="preserve">   column, starting with LABEL:, NOTE:, HEADER: or PERIOD:.</t>
  </si>
  <si>
    <t>6. The check column turns green when a total adds up. If it stays red, re-read the figures; if the page itself</t>
  </si>
  <si>
    <t xml:space="preserve">   does not add up, keep what is printed and write PRINTED in the comment column.</t>
  </si>
  <si>
    <t>7. Note your start and end times in time_log.csv.</t>
  </si>
  <si>
    <t>field</t>
  </si>
  <si>
    <t>value</t>
  </si>
  <si>
    <t>help</t>
  </si>
  <si>
    <t>filing_id</t>
  </si>
  <si>
    <t>sedco_capital_reit_FY2022</t>
  </si>
  <si>
    <t>do not change</t>
  </si>
  <si>
    <t>entity</t>
  </si>
  <si>
    <t>SEDCO Capital REIT</t>
  </si>
  <si>
    <t>source_url</t>
  </si>
  <si>
    <t>sha256</t>
  </si>
  <si>
    <t>1e1c3cab223cc8092045af45890f0b76bcdad68b9269c85e71f274d8a4ceb6b2</t>
  </si>
  <si>
    <t>fingerprint of the exact PDF annotated</t>
  </si>
  <si>
    <t>period_end</t>
  </si>
  <si>
    <t>2022-12-31</t>
  </si>
  <si>
    <t>YYYY-MM-DD, e.g. 2024-12-31</t>
  </si>
  <si>
    <t>report</t>
  </si>
  <si>
    <t>annual</t>
  </si>
  <si>
    <t>annual / interim</t>
  </si>
  <si>
    <t>consolidated</t>
  </si>
  <si>
    <t>yes / no</t>
  </si>
  <si>
    <t>digits</t>
  </si>
  <si>
    <t>arabic-indic</t>
  </si>
  <si>
    <t>arabic-indic / western / mixed — as printed</t>
  </si>
  <si>
    <t>annotator</t>
  </si>
  <si>
    <t>who drafted the figures (the AI draft, or your name)</t>
  </si>
  <si>
    <t>verified_by</t>
  </si>
  <si>
    <t>person who checked every figure against the page image</t>
  </si>
  <si>
    <t>comment</t>
  </si>
  <si>
    <t>type</t>
  </si>
  <si>
    <t>financial_position</t>
  </si>
  <si>
    <t>title_ar</t>
  </si>
  <si>
    <t>قائمة المركز المالي</t>
  </si>
  <si>
    <t>pages</t>
  </si>
  <si>
    <t>7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</si>
  <si>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</si>
  <si>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</si>
  <si>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</si>
  <si>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</si>
  <si>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</si>
  <si>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</si>
  <si>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</si>
  <si>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</si>
  <si>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t>2022م ريال سعودي</t>
  </si>
  <si>
    <t>2021م ريال سعودي</t>
  </si>
  <si>
    <t>sum_of (rows)</t>
  </si>
  <si>
    <t>check</t>
  </si>
  <si>
    <t>period →</t>
  </si>
  <si>
    <t>2021-12-31</t>
  </si>
  <si>
    <t>currency →</t>
  </si>
  <si>
    <t>section</t>
  </si>
  <si>
    <t>الموجودات</t>
  </si>
  <si>
    <t>الموجودات غير المتداولة</t>
  </si>
  <si>
    <t>item</t>
  </si>
  <si>
    <t>عقارات استثمارية</t>
  </si>
  <si>
    <t>5</t>
  </si>
  <si>
    <t>subtotal</t>
  </si>
  <si>
    <t>مجموع الموجودات غير المتداولة</t>
  </si>
  <si>
    <t>12</t>
  </si>
  <si>
    <t>الموجودات المتداولة</t>
  </si>
  <si>
    <t>أدوات مشتقة بالقيمة العادلة من خلال قائمة الدخل</t>
  </si>
  <si>
    <t>6</t>
  </si>
  <si>
    <t>إيجار مستحق الاستلام</t>
  </si>
  <si>
    <t>مبالغ مدفوعة مقدماً وذمم مدينة أخرى</t>
  </si>
  <si>
    <t>النقد وما في حكمه</t>
  </si>
  <si>
    <t>8</t>
  </si>
  <si>
    <t>مجموع الموجودات المتداولة</t>
  </si>
  <si>
    <t>15,16,17,18</t>
  </si>
  <si>
    <t>total</t>
  </si>
  <si>
    <t>مجموع الموجودات</t>
  </si>
  <si>
    <t>13,19</t>
  </si>
  <si>
    <t>المطلوبات</t>
  </si>
  <si>
    <t>المطلوبات غير المتداولة</t>
  </si>
  <si>
    <t>تسهيل تمويلي من بنك</t>
  </si>
  <si>
    <t>9</t>
  </si>
  <si>
    <t>مجموع المطلوبات غير المتداولة</t>
  </si>
  <si>
    <t>23</t>
  </si>
  <si>
    <t>المطلوبات المتداولة</t>
  </si>
  <si>
    <t>توزيعات أرباح مستحقة الدفع</t>
  </si>
  <si>
    <t>10</t>
  </si>
  <si>
    <t>مستحق إلى جهة ذات علاقة</t>
  </si>
  <si>
    <t>11</t>
  </si>
  <si>
    <t>LABEL: مستحق إلى جهات علاقة</t>
  </si>
  <si>
    <t>مصروفات مستحقة الدفع وذمم دائنة أخرى</t>
  </si>
  <si>
    <t>إيرادات مؤجلة</t>
  </si>
  <si>
    <t>13</t>
  </si>
  <si>
    <t>الجزء المتداول من التسهيل التمويلي من البنك</t>
  </si>
  <si>
    <t>مجموع المطلوبات المتداولة</t>
  </si>
  <si>
    <t>26,27,28,29,30</t>
  </si>
  <si>
    <t>مجموع المطلوبات</t>
  </si>
  <si>
    <t>24,31</t>
  </si>
  <si>
    <t>صافي الموجودات العائدة لمالكي الوحدات</t>
  </si>
  <si>
    <t>20,-32</t>
  </si>
  <si>
    <t>الوحدات المصدرة</t>
  </si>
  <si>
    <t>14</t>
  </si>
  <si>
    <t>unit count</t>
  </si>
  <si>
    <t>صافي الموجودات لكل وحدة (بالريال السعودي)</t>
  </si>
  <si>
    <t>riyals per unit</t>
  </si>
  <si>
    <t>income_and_comprehensive_income</t>
  </si>
  <si>
    <t>قائمة الدخل والدخل الشامل الآخر</t>
  </si>
  <si>
    <t>الدخل / (الخسارة)</t>
  </si>
  <si>
    <t>دخل إيجار</t>
  </si>
  <si>
    <t>دخل مرابحة</t>
  </si>
  <si>
    <t>8 (أ)</t>
  </si>
  <si>
    <t>صافي مكسب / (خسارة) أدوات مشتقة بالقيمة العادلة من خلال قائمة الدخل</t>
  </si>
  <si>
    <t>مجموع الدخل</t>
  </si>
  <si>
    <t>11,12,13</t>
  </si>
  <si>
    <t>المصروفات</t>
  </si>
  <si>
    <t>أتعاب إدارة وتنظيم وشريعة</t>
  </si>
  <si>
    <t>استهلاك</t>
  </si>
  <si>
    <t>أتعاب تمويلية ورسوم بنكية</t>
  </si>
  <si>
    <t>خسائر الائتمان المتوقعة للذمم المدينة المتعلقة بالإيجارات</t>
  </si>
  <si>
    <t>7-1</t>
  </si>
  <si>
    <t>محمل الانخفاض في قيمة عقارات استثمارية</t>
  </si>
  <si>
    <t>مصروفات تشغيل ومصروفات أخرى</t>
  </si>
  <si>
    <t>15</t>
  </si>
  <si>
    <t>مجموع المصروفات</t>
  </si>
  <si>
    <t>16,17,18,19,20,21</t>
  </si>
  <si>
    <t>صافي الدخل / (الخسارة) للسنة</t>
  </si>
  <si>
    <t>14,-22</t>
  </si>
  <si>
    <t>الدخل الشامل الآخر</t>
  </si>
  <si>
    <t>-</t>
  </si>
  <si>
    <t>مجموع الدخل الشامل / (الخسارة) للسنة</t>
  </si>
  <si>
    <t>23,24</t>
  </si>
  <si>
    <t>changes_in_net_assets</t>
  </si>
  <si>
    <t>قائمة التغيرات في صافي الموجودات العائدة إلى مالكي الوحدات</t>
  </si>
  <si>
    <t>صافي الموجودات العائدة إلى مالكي الوحدات في 1 يناير</t>
  </si>
  <si>
    <t>إصدار وحدات خلال السنة</t>
  </si>
  <si>
    <t>توزيعات أرباح (إيضاح 10)</t>
  </si>
  <si>
    <t>صافي الموجودات العائدة إلى مالكي الوحدات كما في 31 ديسمبر</t>
  </si>
  <si>
    <t>10,11,12,13</t>
  </si>
  <si>
    <t>cash_flows</t>
  </si>
  <si>
    <t>قائمة التدفقات النقدية</t>
  </si>
  <si>
    <t>الأنشطة التشغيلية</t>
  </si>
  <si>
    <t>صافي دخل / (خسارة) السنة</t>
  </si>
  <si>
    <t>تعديلات لتسوية صافي الدخل/(الخسارة) إلى صافي النقد من الأنشطة التشغيلية:</t>
  </si>
  <si>
    <t>الانخفاض في القيمة للعقارات الاستثمارية</t>
  </si>
  <si>
    <t>صافي مكسب/(خسارة) عن أدوات مشتقة بالقيمة العادلة من خلال قائمة الدخل</t>
  </si>
  <si>
    <t>11,13,14,15,16,17</t>
  </si>
  <si>
    <t>صافي التغيرات في الموجودات والمطلوبات التشغيلية:</t>
  </si>
  <si>
    <t>مبالغ مدفوعة مقدما وذمم مدينة أخرى</t>
  </si>
  <si>
    <t>الحركة في تسهيل تمويلي من بنك</t>
  </si>
  <si>
    <t>صافي النقد من الأنشطة التشغيلية</t>
  </si>
  <si>
    <t>18,20,21,22,23,24,25,26</t>
  </si>
  <si>
    <t>الأنشطة الاستثمارية</t>
  </si>
  <si>
    <t>مدفوعات لاستحواذ عقارات استثمارية</t>
  </si>
  <si>
    <t>مدفوعات للأعمال قيد التنفيذ</t>
  </si>
  <si>
    <t>صافي النقد المستخدم في الأنشطة الاستثمارية</t>
  </si>
  <si>
    <t>29,30</t>
  </si>
  <si>
    <t>الأنشطة التمويلية</t>
  </si>
  <si>
    <t>متحصلات من اصدار وحدات جديدة</t>
  </si>
  <si>
    <t>سداد أصل مبلغ القرض والفائدة</t>
  </si>
  <si>
    <t>توزيعات أرباح مدفوعة خلال السنة</t>
  </si>
  <si>
    <t>متحصلات من قروض وسلف</t>
  </si>
  <si>
    <t>صافي النقد من الأنشطة التمويلية</t>
  </si>
  <si>
    <t>33,34,35,36</t>
  </si>
  <si>
    <t>صافي التغير في النقد وما في حكمه</t>
  </si>
  <si>
    <t>27,31,37</t>
  </si>
  <si>
    <t>النقد وما في حكمه في بداية السنة</t>
  </si>
  <si>
    <t>النقد وما في حكمه في نهاية السنة</t>
  </si>
  <si>
    <t>38,39</t>
  </si>
  <si>
    <t>other</t>
  </si>
  <si>
    <t>معاملات غير نقدية</t>
  </si>
  <si>
    <t>ضريبة التصرفات العقارية</t>
  </si>
  <si>
    <t>مساهمات عينية</t>
  </si>
  <si>
    <t>independent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</si>
</sst>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4298"/>
      </patternFill>
    </fill>
    <fill>
      <patternFill patternType="solid">
        <fgColor rgb="FF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10"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baseColWidth="10" defaultColWidth="8.83203125" defaultRowHeight="15" x14ac:dyDescent="0.2"/>
  <cols>
    <col min="1" max="1" width="125" customWidth="1"/>
  </cols>
  <sheetData>
    <row r="1" spans="1:1" ht="16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6" customWidth="1"/>
    <col min="2" max="2" width="70" customWidth="1"/>
    <col min="3" max="3" width="44" customWidth="1"/>
  </cols>
  <sheetData>
    <row r="1" spans="1:3" x14ac:dyDescent="0.2">
      <c r="A1" s="2" t="s">
        <v>15</v>
      </c>
      <c r="B1" s="2" t="s">
        <v>16</v>
      </c>
      <c r="C1" s="2" t="s">
        <v>17</v>
      </c>
    </row>
    <row r="2" spans="1:3" x14ac:dyDescent="0.2">
      <c r="A2" t="s">
        <v>18</v>
      </c>
      <c r="B2" t="s">
        <v>19</v>
      </c>
      <c r="C2" t="s">
        <v>20</v>
      </c>
    </row>
    <row r="3" spans="1:3" x14ac:dyDescent="0.2">
      <c r="A3" t="s">
        <v>21</v>
      </c>
      <c r="B3" t="s">
        <v>22</v>
      </c>
      <c r="C3" t="s">
        <v>2</v>
      </c>
    </row>
    <row r="4" spans="1:3" x14ac:dyDescent="0.2">
      <c r="A4" t="s">
        <v>23</v>
      </c>
      <c r="B4" t="s">
        <v>2</v>
      </c>
      <c r="C4" t="s">
        <v>2</v>
      </c>
    </row>
    <row r="5" spans="1:3" x14ac:dyDescent="0.2">
      <c r="A5" t="s">
        <v>24</v>
      </c>
      <c r="B5" t="s">
        <v>25</v>
      </c>
      <c r="C5" t="s">
        <v>26</v>
      </c>
    </row>
    <row r="6" spans="1:3" x14ac:dyDescent="0.2">
      <c r="A6" t="s">
        <v>27</v>
      </c>
      <c r="B6" t="s">
        <v>28</v>
      </c>
      <c r="C6" t="s">
        <v>29</v>
      </c>
    </row>
    <row r="7" spans="1:3" x14ac:dyDescent="0.2">
      <c r="A7" t="s">
        <v>30</v>
      </c>
      <c r="B7" t="s">
        <v>31</v>
      </c>
      <c r="C7" t="s">
        <v>32</v>
      </c>
    </row>
    <row r="8" spans="1:3" x14ac:dyDescent="0.2">
      <c r="A8" t="s">
        <v>33</v>
      </c>
      <c r="B8" t="s">
        <v>2</v>
      </c>
      <c r="C8" t="s">
        <v>34</v>
      </c>
    </row>
    <row r="9" spans="1:3" x14ac:dyDescent="0.2">
      <c r="A9" t="s">
        <v>35</v>
      </c>
      <c r="B9" t="s">
        <v>36</v>
      </c>
      <c r="C9" t="s">
        <v>37</v>
      </c>
    </row>
    <row r="10" spans="1:3" x14ac:dyDescent="0.2">
      <c r="A10" t="s">
        <v>38</v>
      </c>
      <c r="B10" t="s">
        <v>179</v>
      </c>
      <c r="C10" t="s">
        <v>39</v>
      </c>
    </row>
    <row r="11" spans="1:3" x14ac:dyDescent="0.2">
      <c r="A11" t="s">
        <v>40</v>
      </c>
      <c r="B11" t="s">
        <v>2</v>
      </c>
      <c r="C11" t="s">
        <v>41</v>
      </c>
    </row>
    <row r="12" spans="1:3" x14ac:dyDescent="0.2">
      <c r="A12" t="s">
        <v>42</v>
      </c>
      <c r="B12" t="s">
        <v>2</v>
      </c>
      <c r="C1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tabSelected="1"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43</v>
      </c>
      <c r="B1" s="4" t="s">
        <v>44</v>
      </c>
    </row>
    <row r="2" spans="1:20" x14ac:dyDescent="0.2">
      <c r="A2" s="3" t="s">
        <v>45</v>
      </c>
      <c r="B2" s="4" t="s">
        <v>46</v>
      </c>
    </row>
    <row r="3" spans="1:20" x14ac:dyDescent="0.2">
      <c r="A3" s="3" t="s">
        <v>47</v>
      </c>
      <c r="B3" s="4" t="s">
        <v>48</v>
      </c>
      <c r="C3" t="s">
        <v>49</v>
      </c>
    </row>
    <row r="4" spans="1:20" x14ac:dyDescent="0.2">
      <c r="A4" s="3" t="s">
        <v>50</v>
      </c>
      <c r="B4" s="4" t="s">
        <v>51</v>
      </c>
    </row>
    <row r="5" spans="1:20" x14ac:dyDescent="0.2">
      <c r="A5" s="3" t="s">
        <v>52</v>
      </c>
      <c r="B5" s="4">
        <v>1</v>
      </c>
      <c r="C5" t="s">
        <v>53</v>
      </c>
    </row>
    <row r="7" spans="1:20" ht="16" x14ac:dyDescent="0.2">
      <c r="A7" s="5" t="s">
        <v>54</v>
      </c>
      <c r="B7" s="5" t="s">
        <v>55</v>
      </c>
      <c r="C7" s="5" t="s">
        <v>56</v>
      </c>
      <c r="D7" s="5" t="s">
        <v>57</v>
      </c>
      <c r="E7" s="5" t="s">
        <v>58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2</v>
      </c>
      <c r="Q7" s="5" t="s">
        <v>2</v>
      </c>
      <c r="R7" s="5" t="s">
        <v>59</v>
      </c>
      <c r="S7" s="5" t="s">
        <v>60</v>
      </c>
      <c r="T7" s="5" t="s">
        <v>42</v>
      </c>
    </row>
    <row r="8" spans="1:20" x14ac:dyDescent="0.2">
      <c r="C8" t="s">
        <v>61</v>
      </c>
      <c r="D8" s="4" t="s">
        <v>28</v>
      </c>
      <c r="E8" s="4" t="s">
        <v>62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</row>
    <row r="9" spans="1:20" x14ac:dyDescent="0.2">
      <c r="C9" t="s">
        <v>63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</row>
    <row r="10" spans="1:20" x14ac:dyDescent="0.2">
      <c r="A10" t="s">
        <v>64</v>
      </c>
      <c r="B10" t="s">
        <v>65</v>
      </c>
      <c r="C10" t="s">
        <v>2</v>
      </c>
      <c r="S10" t="str">
        <f ca="1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64</v>
      </c>
      <c r="B11" t="s">
        <v>66</v>
      </c>
      <c r="C11" t="s">
        <v>2</v>
      </c>
      <c r="S11" t="str">
        <f ca="1"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 spans="1:20" x14ac:dyDescent="0.2">
      <c r="A12" t="s">
        <v>67</v>
      </c>
      <c r="B12" t="s">
        <v>68</v>
      </c>
      <c r="C12" t="s">
        <v>69</v>
      </c>
      <c r="D12">
        <v>1760383078</v>
      </c>
      <c r="E12">
        <v>1633965863</v>
      </c>
      <c r="S12" t="str">
        <f ca="1"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 spans="1:20" x14ac:dyDescent="0.2">
      <c r="A13" t="s">
        <v>70</v>
      </c>
      <c r="B13" t="s">
        <v>71</v>
      </c>
      <c r="C13" t="s">
        <v>2</v>
      </c>
      <c r="D13">
        <v>1760383078</v>
      </c>
      <c r="E13">
        <v>1633965863</v>
      </c>
      <c r="R13" t="s">
        <v>72</v>
      </c>
      <c r="S13" t="str">
        <f>IF($R13="","",IF(AND(IF(OR(ISNUMBER(D13),D13="-"),ABS(N(D13)-(SUM(D12)))&lt;=1,TRUE),IF(OR(ISNUMBER(E13),E13="-"),ABS(N(E13)-(SUM(E12)))&lt;=1,TRUE)),"✓","✗"))</f>
        <v>✓</v>
      </c>
    </row>
    <row r="14" spans="1:20" x14ac:dyDescent="0.2">
      <c r="A14" t="s">
        <v>64</v>
      </c>
      <c r="B14" t="s">
        <v>73</v>
      </c>
      <c r="C14" t="s">
        <v>2</v>
      </c>
      <c r="S14" t="str">
        <f ca="1"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 spans="1:20" x14ac:dyDescent="0.2">
      <c r="A15" t="s">
        <v>67</v>
      </c>
      <c r="B15" t="s">
        <v>74</v>
      </c>
      <c r="C15" t="s">
        <v>75</v>
      </c>
      <c r="D15">
        <v>21645322</v>
      </c>
      <c r="E15">
        <v>852014</v>
      </c>
      <c r="S15" t="str">
        <f ca="1"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 spans="1:20" x14ac:dyDescent="0.2">
      <c r="A16" t="s">
        <v>67</v>
      </c>
      <c r="B16" t="s">
        <v>76</v>
      </c>
      <c r="C16" t="s">
        <v>48</v>
      </c>
      <c r="D16">
        <v>29577661</v>
      </c>
      <c r="E16">
        <v>27500726</v>
      </c>
      <c r="S16" t="str">
        <f ca="1"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 spans="1:20" x14ac:dyDescent="0.2">
      <c r="A17" t="s">
        <v>67</v>
      </c>
      <c r="B17" t="s">
        <v>77</v>
      </c>
      <c r="C17" t="s">
        <v>2</v>
      </c>
      <c r="D17">
        <v>6275396</v>
      </c>
      <c r="E17">
        <v>5169476</v>
      </c>
      <c r="S17" t="str">
        <f ca="1"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 spans="1:20" x14ac:dyDescent="0.2">
      <c r="A18" t="s">
        <v>67</v>
      </c>
      <c r="B18" t="s">
        <v>78</v>
      </c>
      <c r="C18" t="s">
        <v>79</v>
      </c>
      <c r="D18">
        <v>26550920</v>
      </c>
      <c r="E18">
        <v>62053842</v>
      </c>
      <c r="S18" t="str">
        <f ca="1"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 spans="1:20" x14ac:dyDescent="0.2">
      <c r="A19" t="s">
        <v>70</v>
      </c>
      <c r="B19" t="s">
        <v>80</v>
      </c>
      <c r="C19" t="s">
        <v>2</v>
      </c>
      <c r="D19">
        <v>84049299</v>
      </c>
      <c r="E19">
        <v>95576058</v>
      </c>
      <c r="R19" t="s">
        <v>81</v>
      </c>
      <c r="S19" t="str">
        <f>IF($R19="","",IF(AND(IF(OR(ISNUMBER(D19),D19="-"),ABS(N(D19)-(SUM(D15,D16,D17,D18)))&lt;=1,TRUE),IF(OR(ISNUMBER(E19),E19="-"),ABS(N(E19)-(SUM(E15,E16,E17,E18)))&lt;=1,TRUE)),"✓","✗"))</f>
        <v>✓</v>
      </c>
    </row>
    <row r="20" spans="1:20" x14ac:dyDescent="0.2">
      <c r="A20" t="s">
        <v>82</v>
      </c>
      <c r="B20" t="s">
        <v>83</v>
      </c>
      <c r="C20" t="s">
        <v>2</v>
      </c>
      <c r="D20">
        <v>1844432377</v>
      </c>
      <c r="E20">
        <v>1729541921</v>
      </c>
      <c r="R20" t="s">
        <v>84</v>
      </c>
      <c r="S20" t="str">
        <f>IF($R20="","",IF(AND(IF(OR(ISNUMBER(D20),D20="-"),ABS(N(D20)-(SUM(D13,D19)))&lt;=1,TRUE),IF(OR(ISNUMBER(E20),E20="-"),ABS(N(E20)-(SUM(E13,E19)))&lt;=1,TRUE)),"✓","✗"))</f>
        <v>✓</v>
      </c>
    </row>
    <row r="21" spans="1:20" x14ac:dyDescent="0.2">
      <c r="A21" t="s">
        <v>64</v>
      </c>
      <c r="B21" t="s">
        <v>85</v>
      </c>
      <c r="C21" t="s">
        <v>2</v>
      </c>
      <c r="S21" t="str">
        <f ca="1"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 spans="1:20" x14ac:dyDescent="0.2">
      <c r="A22" t="s">
        <v>64</v>
      </c>
      <c r="B22" t="s">
        <v>86</v>
      </c>
      <c r="C22" t="s">
        <v>2</v>
      </c>
      <c r="S22" t="str">
        <f ca="1"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 spans="1:20" x14ac:dyDescent="0.2">
      <c r="A23" t="s">
        <v>67</v>
      </c>
      <c r="B23" t="s">
        <v>87</v>
      </c>
      <c r="C23" t="s">
        <v>88</v>
      </c>
      <c r="D23">
        <v>785924480</v>
      </c>
      <c r="E23">
        <v>615511202</v>
      </c>
      <c r="S23" t="str">
        <f ca="1"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 spans="1:20" x14ac:dyDescent="0.2">
      <c r="A24" t="s">
        <v>70</v>
      </c>
      <c r="B24" t="s">
        <v>89</v>
      </c>
      <c r="C24" t="s">
        <v>2</v>
      </c>
      <c r="D24">
        <v>785924480</v>
      </c>
      <c r="E24">
        <v>615511202</v>
      </c>
      <c r="R24" t="s">
        <v>90</v>
      </c>
      <c r="S24" t="str">
        <f>IF($R24="","",IF(AND(IF(OR(ISNUMBER(D24),D24="-"),ABS(N(D24)-(SUM(D23)))&lt;=1,TRUE),IF(OR(ISNUMBER(E24),E24="-"),ABS(N(E24)-(SUM(E23)))&lt;=1,TRUE)),"✓","✗"))</f>
        <v>✓</v>
      </c>
    </row>
    <row r="25" spans="1:20" x14ac:dyDescent="0.2">
      <c r="A25" t="s">
        <v>64</v>
      </c>
      <c r="B25" t="s">
        <v>91</v>
      </c>
      <c r="C25" t="s">
        <v>2</v>
      </c>
      <c r="S25" t="str">
        <f t="shared" ref="S25:S30" ca="1" si="0"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 spans="1:20" x14ac:dyDescent="0.2">
      <c r="A26" t="s">
        <v>67</v>
      </c>
      <c r="B26" t="s">
        <v>92</v>
      </c>
      <c r="C26" t="s">
        <v>93</v>
      </c>
      <c r="D26">
        <v>21296875</v>
      </c>
      <c r="E26">
        <v>9750000</v>
      </c>
      <c r="S26" t="str">
        <f t="shared" ca="1" si="0"/>
        <v/>
      </c>
    </row>
    <row r="27" spans="1:20" x14ac:dyDescent="0.2">
      <c r="A27" t="s">
        <v>67</v>
      </c>
      <c r="B27" t="s">
        <v>94</v>
      </c>
      <c r="C27" t="s">
        <v>95</v>
      </c>
      <c r="D27">
        <v>15322392</v>
      </c>
      <c r="E27">
        <v>4500000</v>
      </c>
      <c r="S27" t="str">
        <f t="shared" ca="1" si="0"/>
        <v/>
      </c>
      <c r="T27" t="s">
        <v>96</v>
      </c>
    </row>
    <row r="28" spans="1:20" x14ac:dyDescent="0.2">
      <c r="A28" t="s">
        <v>67</v>
      </c>
      <c r="B28" t="s">
        <v>97</v>
      </c>
      <c r="C28" t="s">
        <v>72</v>
      </c>
      <c r="D28">
        <v>2716258</v>
      </c>
      <c r="E28">
        <v>38655155</v>
      </c>
      <c r="S28" t="str">
        <f t="shared" ca="1" si="0"/>
        <v/>
      </c>
    </row>
    <row r="29" spans="1:20" x14ac:dyDescent="0.2">
      <c r="A29" t="s">
        <v>67</v>
      </c>
      <c r="B29" t="s">
        <v>98</v>
      </c>
      <c r="C29" t="s">
        <v>99</v>
      </c>
      <c r="D29">
        <v>13482685</v>
      </c>
      <c r="E29">
        <v>17273031</v>
      </c>
      <c r="S29" t="str">
        <f t="shared" ca="1" si="0"/>
        <v/>
      </c>
    </row>
    <row r="30" spans="1:20" x14ac:dyDescent="0.2">
      <c r="A30" t="s">
        <v>67</v>
      </c>
      <c r="B30" t="s">
        <v>100</v>
      </c>
      <c r="C30" t="s">
        <v>88</v>
      </c>
      <c r="D30">
        <v>8293739</v>
      </c>
      <c r="E30">
        <v>4141929</v>
      </c>
      <c r="S30" t="str">
        <f t="shared" ca="1" si="0"/>
        <v/>
      </c>
    </row>
    <row r="31" spans="1:20" x14ac:dyDescent="0.2">
      <c r="A31" t="s">
        <v>70</v>
      </c>
      <c r="B31" t="s">
        <v>101</v>
      </c>
      <c r="C31" t="s">
        <v>2</v>
      </c>
      <c r="D31">
        <v>61111949</v>
      </c>
      <c r="E31">
        <v>74320115</v>
      </c>
      <c r="R31" t="s">
        <v>102</v>
      </c>
      <c r="S31" t="str">
        <f>IF($R31="","",IF(AND(IF(OR(ISNUMBER(D31),D31="-"),ABS(N(D31)-(SUM(D26,D27,D28,D29,D30)))&lt;=1,TRUE),IF(OR(ISNUMBER(E31),E31="-"),ABS(N(E31)-(SUM(E26,E27,E28,E29,E30)))&lt;=1,TRUE)),"✓","✗"))</f>
        <v>✓</v>
      </c>
    </row>
    <row r="32" spans="1:20" x14ac:dyDescent="0.2">
      <c r="A32" t="s">
        <v>82</v>
      </c>
      <c r="B32" t="s">
        <v>103</v>
      </c>
      <c r="C32" t="s">
        <v>2</v>
      </c>
      <c r="D32">
        <v>847036429</v>
      </c>
      <c r="E32">
        <v>689831317</v>
      </c>
      <c r="R32" t="s">
        <v>104</v>
      </c>
      <c r="S32" t="str">
        <f>IF($R32="","",IF(AND(IF(OR(ISNUMBER(D32),D32="-"),ABS(N(D32)-(SUM(D24,D31)))&lt;=1,TRUE),IF(OR(ISNUMBER(E32),E32="-"),ABS(N(E32)-(SUM(E24,E31)))&lt;=1,TRUE)),"✓","✗"))</f>
        <v>✓</v>
      </c>
    </row>
    <row r="33" spans="1:20" x14ac:dyDescent="0.2">
      <c r="A33" t="s">
        <v>82</v>
      </c>
      <c r="B33" t="s">
        <v>105</v>
      </c>
      <c r="C33" t="s">
        <v>2</v>
      </c>
      <c r="D33">
        <v>997395948</v>
      </c>
      <c r="E33">
        <v>1039710604</v>
      </c>
      <c r="R33" t="s">
        <v>106</v>
      </c>
      <c r="S33" t="str">
        <f>IF($R33="","",IF(AND(IF(OR(ISNUMBER(D33),D33="-"),ABS(N(D33)-(SUM(D20)-SUM(D32)))&lt;=1,TRUE),IF(OR(ISNUMBER(E33),E33="-"),ABS(N(E33)-(SUM(E20)-SUM(E32)))&lt;=1,TRUE)),"✓","✗"))</f>
        <v>✓</v>
      </c>
    </row>
    <row r="34" spans="1:20" x14ac:dyDescent="0.2">
      <c r="A34" t="s">
        <v>67</v>
      </c>
      <c r="B34" t="s">
        <v>107</v>
      </c>
      <c r="C34" t="s">
        <v>108</v>
      </c>
      <c r="D34">
        <v>117500000</v>
      </c>
      <c r="E34">
        <v>117500000</v>
      </c>
      <c r="S34" t="str">
        <f t="shared" ref="S34:S65" ca="1" si="1"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  <c r="T34" t="s">
        <v>109</v>
      </c>
    </row>
    <row r="35" spans="1:20" x14ac:dyDescent="0.2">
      <c r="A35" t="s">
        <v>67</v>
      </c>
      <c r="B35" t="s">
        <v>110</v>
      </c>
      <c r="C35" t="s">
        <v>2</v>
      </c>
      <c r="D35">
        <v>8.4885000000000002</v>
      </c>
      <c r="E35">
        <v>8.8485999999999994</v>
      </c>
      <c r="S35" t="str">
        <f t="shared" ca="1" si="1"/>
        <v/>
      </c>
      <c r="T35" t="s">
        <v>111</v>
      </c>
    </row>
    <row r="36" spans="1:20" x14ac:dyDescent="0.2">
      <c r="S36" t="str">
        <f t="shared" ca="1" si="1"/>
        <v/>
      </c>
    </row>
    <row r="37" spans="1:20" x14ac:dyDescent="0.2">
      <c r="S37" t="str">
        <f t="shared" ca="1" si="1"/>
        <v/>
      </c>
    </row>
    <row r="38" spans="1:20" x14ac:dyDescent="0.2">
      <c r="S38" t="str">
        <f t="shared" ca="1" si="1"/>
        <v/>
      </c>
    </row>
    <row r="39" spans="1:20" x14ac:dyDescent="0.2">
      <c r="S39" t="str">
        <f t="shared" ca="1" si="1"/>
        <v/>
      </c>
    </row>
    <row r="40" spans="1:20" x14ac:dyDescent="0.2">
      <c r="S40" t="str">
        <f t="shared" ca="1" si="1"/>
        <v/>
      </c>
    </row>
    <row r="41" spans="1:20" x14ac:dyDescent="0.2">
      <c r="S41" t="str">
        <f t="shared" ca="1" si="1"/>
        <v/>
      </c>
    </row>
    <row r="42" spans="1:20" x14ac:dyDescent="0.2">
      <c r="S42" t="str">
        <f t="shared" ca="1" si="1"/>
        <v/>
      </c>
    </row>
    <row r="43" spans="1:20" x14ac:dyDescent="0.2">
      <c r="S43" t="str">
        <f t="shared" ca="1" si="1"/>
        <v/>
      </c>
    </row>
    <row r="44" spans="1:20" x14ac:dyDescent="0.2">
      <c r="S44" t="str">
        <f t="shared" ca="1" si="1"/>
        <v/>
      </c>
    </row>
    <row r="45" spans="1:20" x14ac:dyDescent="0.2">
      <c r="S45" t="str">
        <f t="shared" ca="1" si="1"/>
        <v/>
      </c>
    </row>
    <row r="46" spans="1:20" x14ac:dyDescent="0.2">
      <c r="S46" t="str">
        <f t="shared" ca="1" si="1"/>
        <v/>
      </c>
    </row>
    <row r="47" spans="1:20" x14ac:dyDescent="0.2">
      <c r="S47" t="str">
        <f t="shared" ca="1" si="1"/>
        <v/>
      </c>
    </row>
    <row r="48" spans="1:20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ca="1" si="1"/>
        <v/>
      </c>
    </row>
    <row r="59" spans="19:19" x14ac:dyDescent="0.2">
      <c r="S59" t="str">
        <f t="shared" ca="1" si="1"/>
        <v/>
      </c>
    </row>
    <row r="60" spans="19:19" x14ac:dyDescent="0.2">
      <c r="S60" t="str">
        <f t="shared" ca="1" si="1"/>
        <v/>
      </c>
    </row>
    <row r="61" spans="19:19" x14ac:dyDescent="0.2">
      <c r="S61" t="str">
        <f t="shared" ca="1" si="1"/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ref="S66:S97" ca="1" si="2"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 spans="19:19" x14ac:dyDescent="0.2">
      <c r="S67" t="str">
        <f t="shared" ca="1" si="2"/>
        <v/>
      </c>
    </row>
    <row r="68" spans="19:19" x14ac:dyDescent="0.2">
      <c r="S68" t="str">
        <f t="shared" ca="1" si="2"/>
        <v/>
      </c>
    </row>
    <row r="69" spans="19:19" x14ac:dyDescent="0.2">
      <c r="S69" t="str">
        <f t="shared" ca="1" si="2"/>
        <v/>
      </c>
    </row>
    <row r="70" spans="19:19" x14ac:dyDescent="0.2">
      <c r="S70" t="str">
        <f t="shared" ca="1" si="2"/>
        <v/>
      </c>
    </row>
    <row r="71" spans="19:19" x14ac:dyDescent="0.2">
      <c r="S71" t="str">
        <f t="shared" ca="1" si="2"/>
        <v/>
      </c>
    </row>
    <row r="72" spans="19:19" x14ac:dyDescent="0.2">
      <c r="S72" t="str">
        <f t="shared" ca="1" si="2"/>
        <v/>
      </c>
    </row>
    <row r="73" spans="19:19" x14ac:dyDescent="0.2">
      <c r="S73" t="str">
        <f t="shared" ca="1" si="2"/>
        <v/>
      </c>
    </row>
    <row r="74" spans="19:19" x14ac:dyDescent="0.2">
      <c r="S74" t="str">
        <f t="shared" ca="1" si="2"/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ref="S98:S129" ca="1" si="3"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 spans="19:19" x14ac:dyDescent="0.2">
      <c r="S99" t="str">
        <f t="shared" ca="1" si="3"/>
        <v/>
      </c>
    </row>
    <row r="100" spans="19:19" x14ac:dyDescent="0.2">
      <c r="S100" t="str">
        <f t="shared" ca="1" si="3"/>
        <v/>
      </c>
    </row>
    <row r="101" spans="19:19" x14ac:dyDescent="0.2">
      <c r="S101" t="str">
        <f t="shared" ca="1" si="3"/>
        <v/>
      </c>
    </row>
    <row r="102" spans="19:19" x14ac:dyDescent="0.2">
      <c r="S102" t="str">
        <f t="shared" ca="1" si="3"/>
        <v/>
      </c>
    </row>
    <row r="103" spans="19:19" x14ac:dyDescent="0.2">
      <c r="S103" t="str">
        <f t="shared" ca="1" si="3"/>
        <v/>
      </c>
    </row>
    <row r="104" spans="19:19" x14ac:dyDescent="0.2">
      <c r="S104" t="str">
        <f t="shared" ca="1" si="3"/>
        <v/>
      </c>
    </row>
    <row r="105" spans="19:19" x14ac:dyDescent="0.2">
      <c r="S105" t="str">
        <f t="shared" ca="1" si="3"/>
        <v/>
      </c>
    </row>
    <row r="106" spans="19:19" x14ac:dyDescent="0.2">
      <c r="S106" t="str">
        <f t="shared" ca="1" si="3"/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ref="S130:S161" ca="1" si="4"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 spans="19:19" x14ac:dyDescent="0.2">
      <c r="S131" t="str">
        <f t="shared" ca="1" si="4"/>
        <v/>
      </c>
    </row>
    <row r="132" spans="19:19" x14ac:dyDescent="0.2">
      <c r="S132" t="str">
        <f t="shared" ca="1" si="4"/>
        <v/>
      </c>
    </row>
    <row r="133" spans="19:19" x14ac:dyDescent="0.2">
      <c r="S133" t="str">
        <f t="shared" ca="1" si="4"/>
        <v/>
      </c>
    </row>
    <row r="134" spans="19:19" x14ac:dyDescent="0.2">
      <c r="S134" t="str">
        <f t="shared" ca="1" si="4"/>
        <v/>
      </c>
    </row>
    <row r="135" spans="19:19" x14ac:dyDescent="0.2">
      <c r="S135" t="str">
        <f t="shared" ca="1" si="4"/>
        <v/>
      </c>
    </row>
    <row r="136" spans="19:19" x14ac:dyDescent="0.2">
      <c r="S136" t="str">
        <f t="shared" ca="1" si="4"/>
        <v/>
      </c>
    </row>
    <row r="137" spans="19:19" x14ac:dyDescent="0.2">
      <c r="S137" t="str">
        <f t="shared" ca="1" si="4"/>
        <v/>
      </c>
    </row>
    <row r="138" spans="19:19" x14ac:dyDescent="0.2">
      <c r="S138" t="str">
        <f t="shared" ca="1" si="4"/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ref="S162:S193" ca="1" si="5"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 spans="19:19" x14ac:dyDescent="0.2">
      <c r="S163" t="str">
        <f t="shared" ca="1" si="5"/>
        <v/>
      </c>
    </row>
    <row r="164" spans="19:19" x14ac:dyDescent="0.2">
      <c r="S164" t="str">
        <f t="shared" ca="1" si="5"/>
        <v/>
      </c>
    </row>
    <row r="165" spans="19:19" x14ac:dyDescent="0.2">
      <c r="S165" t="str">
        <f t="shared" ca="1" si="5"/>
        <v/>
      </c>
    </row>
    <row r="166" spans="19:19" x14ac:dyDescent="0.2">
      <c r="S166" t="str">
        <f t="shared" ca="1" si="5"/>
        <v/>
      </c>
    </row>
    <row r="167" spans="19:19" x14ac:dyDescent="0.2">
      <c r="S167" t="str">
        <f t="shared" ca="1" si="5"/>
        <v/>
      </c>
    </row>
    <row r="168" spans="19:19" x14ac:dyDescent="0.2">
      <c r="S168" t="str">
        <f t="shared" ca="1" si="5"/>
        <v/>
      </c>
    </row>
    <row r="169" spans="19:19" x14ac:dyDescent="0.2">
      <c r="S169" t="str">
        <f t="shared" ca="1" si="5"/>
        <v/>
      </c>
    </row>
    <row r="170" spans="19:19" x14ac:dyDescent="0.2">
      <c r="S170" t="str">
        <f t="shared" ca="1" si="5"/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ref="S194:S209" ca="1" si="6"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 spans="19:19" x14ac:dyDescent="0.2">
      <c r="S195" t="str">
        <f t="shared" ca="1" si="6"/>
        <v/>
      </c>
    </row>
    <row r="196" spans="19:19" x14ac:dyDescent="0.2">
      <c r="S196" t="str">
        <f t="shared" ca="1" si="6"/>
        <v/>
      </c>
    </row>
    <row r="197" spans="19:19" x14ac:dyDescent="0.2">
      <c r="S197" t="str">
        <f t="shared" ca="1" si="6"/>
        <v/>
      </c>
    </row>
    <row r="198" spans="19:19" x14ac:dyDescent="0.2">
      <c r="S198" t="str">
        <f t="shared" ca="1" si="6"/>
        <v/>
      </c>
    </row>
    <row r="199" spans="19:19" x14ac:dyDescent="0.2">
      <c r="S199" t="str">
        <f t="shared" ca="1" si="6"/>
        <v/>
      </c>
    </row>
    <row r="200" spans="19:19" x14ac:dyDescent="0.2">
      <c r="S200" t="str">
        <f t="shared" ca="1" si="6"/>
        <v/>
      </c>
    </row>
    <row r="201" spans="19:19" x14ac:dyDescent="0.2">
      <c r="S201" t="str">
        <f t="shared" ca="1" si="6"/>
        <v/>
      </c>
    </row>
    <row r="202" spans="19:19" x14ac:dyDescent="0.2">
      <c r="S202" t="str">
        <f t="shared" ca="1" si="6"/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9" priority="1" operator="equal">
      <formula>"✗"</formula>
    </cfRule>
    <cfRule type="cellIs" dxfId="8" priority="2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</dataValidation>
    <dataValidation type="list" sqref="B5" xr:uid="{00000000-0002-0000-0200-000001000000}">
      <formula1>"1,1000,1000000"</formula1>
    </dataValidation>
    <dataValidation type="list" allowBlank="1" sqref="A10:A209" xr:uid="{00000000-0002-0000-0200-000002000000}">
      <formula1>"section,item,subtotal,total"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43</v>
      </c>
      <c r="B1" s="4" t="s">
        <v>112</v>
      </c>
    </row>
    <row r="2" spans="1:20" x14ac:dyDescent="0.2">
      <c r="A2" s="3" t="s">
        <v>45</v>
      </c>
      <c r="B2" s="4" t="s">
        <v>113</v>
      </c>
    </row>
    <row r="3" spans="1:20" x14ac:dyDescent="0.2">
      <c r="A3" s="3" t="s">
        <v>47</v>
      </c>
      <c r="B3" s="4" t="s">
        <v>79</v>
      </c>
      <c r="C3" t="s">
        <v>49</v>
      </c>
    </row>
    <row r="4" spans="1:20" x14ac:dyDescent="0.2">
      <c r="A4" s="3" t="s">
        <v>50</v>
      </c>
      <c r="B4" s="4" t="s">
        <v>51</v>
      </c>
    </row>
    <row r="5" spans="1:20" x14ac:dyDescent="0.2">
      <c r="A5" s="3" t="s">
        <v>52</v>
      </c>
      <c r="B5" s="4">
        <v>1</v>
      </c>
      <c r="C5" t="s">
        <v>53</v>
      </c>
    </row>
    <row r="7" spans="1:20" ht="16" x14ac:dyDescent="0.2">
      <c r="A7" s="5" t="s">
        <v>54</v>
      </c>
      <c r="B7" s="5" t="s">
        <v>55</v>
      </c>
      <c r="C7" s="5" t="s">
        <v>56</v>
      </c>
      <c r="D7" s="5" t="s">
        <v>57</v>
      </c>
      <c r="E7" s="5" t="s">
        <v>58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2</v>
      </c>
      <c r="Q7" s="5" t="s">
        <v>2</v>
      </c>
      <c r="R7" s="5" t="s">
        <v>59</v>
      </c>
      <c r="S7" s="5" t="s">
        <v>60</v>
      </c>
      <c r="T7" s="5" t="s">
        <v>42</v>
      </c>
    </row>
    <row r="8" spans="1:20" x14ac:dyDescent="0.2">
      <c r="C8" t="s">
        <v>61</v>
      </c>
      <c r="D8" s="4" t="s">
        <v>28</v>
      </c>
      <c r="E8" s="4" t="s">
        <v>62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</row>
    <row r="9" spans="1:20" x14ac:dyDescent="0.2">
      <c r="C9" t="s">
        <v>63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</row>
    <row r="10" spans="1:20" x14ac:dyDescent="0.2">
      <c r="A10" t="s">
        <v>64</v>
      </c>
      <c r="B10" t="s">
        <v>114</v>
      </c>
      <c r="C10" t="s">
        <v>2</v>
      </c>
      <c r="S10" t="str">
        <f ca="1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67</v>
      </c>
      <c r="B11" t="s">
        <v>115</v>
      </c>
      <c r="C11" t="s">
        <v>2</v>
      </c>
      <c r="D11">
        <v>137505273</v>
      </c>
      <c r="E11">
        <v>72898962</v>
      </c>
      <c r="S11" t="str">
        <f ca="1"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 spans="1:20" x14ac:dyDescent="0.2">
      <c r="A12" t="s">
        <v>67</v>
      </c>
      <c r="B12" t="s">
        <v>116</v>
      </c>
      <c r="C12" t="s">
        <v>117</v>
      </c>
      <c r="D12">
        <v>426567</v>
      </c>
      <c r="E12">
        <v>11314</v>
      </c>
      <c r="S12" t="str">
        <f ca="1"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 spans="1:20" x14ac:dyDescent="0.2">
      <c r="A13" t="s">
        <v>67</v>
      </c>
      <c r="B13" t="s">
        <v>118</v>
      </c>
      <c r="C13" t="s">
        <v>2</v>
      </c>
      <c r="D13">
        <v>21199241</v>
      </c>
      <c r="E13">
        <v>-1231454</v>
      </c>
      <c r="S13" t="str">
        <f ca="1"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 spans="1:20" x14ac:dyDescent="0.2">
      <c r="A14" t="s">
        <v>70</v>
      </c>
      <c r="B14" t="s">
        <v>119</v>
      </c>
      <c r="C14" t="s">
        <v>2</v>
      </c>
      <c r="D14">
        <v>159131081</v>
      </c>
      <c r="E14">
        <v>71678822</v>
      </c>
      <c r="R14" t="s">
        <v>120</v>
      </c>
      <c r="S14" t="str">
        <f>IF($R14="","",IF(AND(IF(OR(ISNUMBER(D14),D14="-"),ABS(N(D14)-(SUM(D11,D12,D13)))&lt;=1,TRUE),IF(OR(ISNUMBER(E14),E14="-"),ABS(N(E14)-(SUM(E11,E12,E13)))&lt;=1,TRUE)),"✓","✗"))</f>
        <v>✓</v>
      </c>
    </row>
    <row r="15" spans="1:20" x14ac:dyDescent="0.2">
      <c r="A15" t="s">
        <v>64</v>
      </c>
      <c r="B15" t="s">
        <v>121</v>
      </c>
      <c r="C15" t="s">
        <v>2</v>
      </c>
      <c r="S15" t="str">
        <f t="shared" ref="S15:S21" ca="1" si="0"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 spans="1:20" x14ac:dyDescent="0.2">
      <c r="A16" t="s">
        <v>67</v>
      </c>
      <c r="B16" t="s">
        <v>122</v>
      </c>
      <c r="C16" t="s">
        <v>2</v>
      </c>
      <c r="D16">
        <v>11127297</v>
      </c>
      <c r="E16">
        <v>5830518</v>
      </c>
      <c r="S16" t="str">
        <f t="shared" ca="1" si="0"/>
        <v/>
      </c>
    </row>
    <row r="17" spans="1:19" x14ac:dyDescent="0.2">
      <c r="A17" t="s">
        <v>67</v>
      </c>
      <c r="B17" t="s">
        <v>123</v>
      </c>
      <c r="C17" t="s">
        <v>69</v>
      </c>
      <c r="D17">
        <v>29130449</v>
      </c>
      <c r="E17">
        <v>16194638</v>
      </c>
      <c r="S17" t="str">
        <f t="shared" ca="1" si="0"/>
        <v/>
      </c>
    </row>
    <row r="18" spans="1:19" x14ac:dyDescent="0.2">
      <c r="A18" t="s">
        <v>67</v>
      </c>
      <c r="B18" t="s">
        <v>124</v>
      </c>
      <c r="C18" t="s">
        <v>88</v>
      </c>
      <c r="D18">
        <v>34525866</v>
      </c>
      <c r="E18">
        <v>12480293</v>
      </c>
      <c r="S18" t="str">
        <f t="shared" ca="1" si="0"/>
        <v/>
      </c>
    </row>
    <row r="19" spans="1:19" x14ac:dyDescent="0.2">
      <c r="A19" t="s">
        <v>67</v>
      </c>
      <c r="B19" t="s">
        <v>125</v>
      </c>
      <c r="C19" t="s">
        <v>126</v>
      </c>
      <c r="D19">
        <v>3500000</v>
      </c>
      <c r="E19">
        <v>249832</v>
      </c>
      <c r="S19" t="str">
        <f t="shared" ca="1" si="0"/>
        <v/>
      </c>
    </row>
    <row r="20" spans="1:19" x14ac:dyDescent="0.2">
      <c r="A20" t="s">
        <v>67</v>
      </c>
      <c r="B20" t="s">
        <v>127</v>
      </c>
      <c r="C20" t="s">
        <v>69</v>
      </c>
      <c r="D20">
        <v>26839816</v>
      </c>
      <c r="E20">
        <v>60147719</v>
      </c>
      <c r="S20" t="str">
        <f t="shared" ca="1" si="0"/>
        <v/>
      </c>
    </row>
    <row r="21" spans="1:19" x14ac:dyDescent="0.2">
      <c r="A21" t="s">
        <v>67</v>
      </c>
      <c r="B21" t="s">
        <v>128</v>
      </c>
      <c r="C21" t="s">
        <v>129</v>
      </c>
      <c r="D21">
        <v>12897309</v>
      </c>
      <c r="E21">
        <v>12213597</v>
      </c>
      <c r="S21" t="str">
        <f t="shared" ca="1" si="0"/>
        <v/>
      </c>
    </row>
    <row r="22" spans="1:19" x14ac:dyDescent="0.2">
      <c r="A22" t="s">
        <v>70</v>
      </c>
      <c r="B22" t="s">
        <v>130</v>
      </c>
      <c r="C22" t="s">
        <v>2</v>
      </c>
      <c r="D22">
        <v>118020737</v>
      </c>
      <c r="E22">
        <v>107116597</v>
      </c>
      <c r="R22" t="s">
        <v>131</v>
      </c>
      <c r="S22" t="str">
        <f>IF($R22="","",IF(AND(IF(OR(ISNUMBER(D22),D22="-"),ABS(N(D22)-(SUM(D16,D17,D18,D19,D20,D21)))&lt;=1,TRUE),IF(OR(ISNUMBER(E22),E22="-"),ABS(N(E22)-(SUM(E16,E17,E18,E19,E20,E21)))&lt;=1,TRUE)),"✓","✗"))</f>
        <v>✓</v>
      </c>
    </row>
    <row r="23" spans="1:19" x14ac:dyDescent="0.2">
      <c r="A23" t="s">
        <v>82</v>
      </c>
      <c r="B23" t="s">
        <v>132</v>
      </c>
      <c r="C23" t="s">
        <v>2</v>
      </c>
      <c r="D23">
        <v>41110344</v>
      </c>
      <c r="E23">
        <v>-35437775</v>
      </c>
      <c r="R23" t="s">
        <v>133</v>
      </c>
      <c r="S23" t="str">
        <f>IF($R23="","",IF(AND(IF(OR(ISNUMBER(D23),D23="-"),ABS(N(D23)-(SUM(D14)-SUM(D22)))&lt;=1,TRUE),IF(OR(ISNUMBER(E23),E23="-"),ABS(N(E23)-(SUM(E14)-SUM(E22)))&lt;=1,TRUE)),"✓","✗"))</f>
        <v>✓</v>
      </c>
    </row>
    <row r="24" spans="1:19" x14ac:dyDescent="0.2">
      <c r="A24" t="s">
        <v>67</v>
      </c>
      <c r="B24" t="s">
        <v>134</v>
      </c>
      <c r="C24" t="s">
        <v>2</v>
      </c>
      <c r="D24" t="s">
        <v>135</v>
      </c>
      <c r="E24" t="s">
        <v>135</v>
      </c>
      <c r="S24" t="str">
        <f ca="1"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 spans="1:19" x14ac:dyDescent="0.2">
      <c r="A25" t="s">
        <v>82</v>
      </c>
      <c r="B25" t="s">
        <v>136</v>
      </c>
      <c r="C25" t="s">
        <v>2</v>
      </c>
      <c r="D25">
        <v>41110344</v>
      </c>
      <c r="E25">
        <v>-35437775</v>
      </c>
      <c r="R25" t="s">
        <v>137</v>
      </c>
      <c r="S25" t="str">
        <f>IF($R25="","",IF(AND(IF(OR(ISNUMBER(D25),D25="-"),ABS(N(D25)-(SUM(D23,D24)))&lt;=1,TRUE),IF(OR(ISNUMBER(E25),E25="-"),ABS(N(E25)-(SUM(E23,E24)))&lt;=1,TRUE)),"✓","✗"))</f>
        <v>✓</v>
      </c>
    </row>
    <row r="26" spans="1:19" x14ac:dyDescent="0.2">
      <c r="S26" t="str">
        <f t="shared" ref="S26:S57" ca="1" si="1"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 spans="1:19" x14ac:dyDescent="0.2">
      <c r="S27" t="str">
        <f t="shared" ca="1" si="1"/>
        <v/>
      </c>
    </row>
    <row r="28" spans="1:19" x14ac:dyDescent="0.2">
      <c r="S28" t="str">
        <f t="shared" ca="1" si="1"/>
        <v/>
      </c>
    </row>
    <row r="29" spans="1:19" x14ac:dyDescent="0.2">
      <c r="S29" t="str">
        <f t="shared" ca="1" si="1"/>
        <v/>
      </c>
    </row>
    <row r="30" spans="1:19" x14ac:dyDescent="0.2">
      <c r="S30" t="str">
        <f t="shared" ca="1" si="1"/>
        <v/>
      </c>
    </row>
    <row r="31" spans="1:19" x14ac:dyDescent="0.2">
      <c r="S31" t="str">
        <f t="shared" ca="1" si="1"/>
        <v/>
      </c>
    </row>
    <row r="32" spans="1:19" x14ac:dyDescent="0.2">
      <c r="S32" t="str">
        <f t="shared" ca="1" si="1"/>
        <v/>
      </c>
    </row>
    <row r="33" spans="19:19" x14ac:dyDescent="0.2">
      <c r="S33" t="str">
        <f t="shared" ca="1" si="1"/>
        <v/>
      </c>
    </row>
    <row r="34" spans="19:19" x14ac:dyDescent="0.2">
      <c r="S34" t="str">
        <f t="shared" ca="1" si="1"/>
        <v/>
      </c>
    </row>
    <row r="35" spans="19:19" x14ac:dyDescent="0.2">
      <c r="S35" t="str">
        <f t="shared" ca="1" si="1"/>
        <v/>
      </c>
    </row>
    <row r="36" spans="19:19" x14ac:dyDescent="0.2">
      <c r="S36" t="str">
        <f t="shared" ca="1" si="1"/>
        <v/>
      </c>
    </row>
    <row r="37" spans="19:19" x14ac:dyDescent="0.2">
      <c r="S37" t="str">
        <f t="shared" ca="1" si="1"/>
        <v/>
      </c>
    </row>
    <row r="38" spans="19:19" x14ac:dyDescent="0.2">
      <c r="S38" t="str">
        <f t="shared" ca="1" si="1"/>
        <v/>
      </c>
    </row>
    <row r="39" spans="19:19" x14ac:dyDescent="0.2">
      <c r="S39" t="str">
        <f t="shared" ca="1" si="1"/>
        <v/>
      </c>
    </row>
    <row r="40" spans="19:19" x14ac:dyDescent="0.2">
      <c r="S40" t="str">
        <f t="shared" ca="1" si="1"/>
        <v/>
      </c>
    </row>
    <row r="41" spans="19:19" x14ac:dyDescent="0.2">
      <c r="S41" t="str">
        <f t="shared" ca="1" si="1"/>
        <v/>
      </c>
    </row>
    <row r="42" spans="19:19" x14ac:dyDescent="0.2">
      <c r="S42" t="str">
        <f t="shared" ca="1" si="1"/>
        <v/>
      </c>
    </row>
    <row r="43" spans="19:19" x14ac:dyDescent="0.2">
      <c r="S43" t="str">
        <f t="shared" ca="1" si="1"/>
        <v/>
      </c>
    </row>
    <row r="44" spans="19:19" x14ac:dyDescent="0.2">
      <c r="S44" t="str">
        <f t="shared" ca="1" si="1"/>
        <v/>
      </c>
    </row>
    <row r="45" spans="19:19" x14ac:dyDescent="0.2">
      <c r="S45" t="str">
        <f t="shared" ca="1" si="1"/>
        <v/>
      </c>
    </row>
    <row r="46" spans="19:19" x14ac:dyDescent="0.2">
      <c r="S46" t="str">
        <f t="shared" ca="1" si="1"/>
        <v/>
      </c>
    </row>
    <row r="47" spans="19:19" x14ac:dyDescent="0.2">
      <c r="S47" t="str">
        <f t="shared" ca="1" si="1"/>
        <v/>
      </c>
    </row>
    <row r="48" spans="19:19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ref="S58:S89" ca="1" si="2"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 spans="19:19" x14ac:dyDescent="0.2">
      <c r="S59" t="str">
        <f t="shared" ca="1" si="2"/>
        <v/>
      </c>
    </row>
    <row r="60" spans="19:19" x14ac:dyDescent="0.2">
      <c r="S60" t="str">
        <f t="shared" ca="1" si="2"/>
        <v/>
      </c>
    </row>
    <row r="61" spans="19:19" x14ac:dyDescent="0.2">
      <c r="S61" t="str">
        <f t="shared" ca="1" si="2"/>
        <v/>
      </c>
    </row>
    <row r="62" spans="19:19" x14ac:dyDescent="0.2">
      <c r="S62" t="str">
        <f t="shared" ca="1" si="2"/>
        <v/>
      </c>
    </row>
    <row r="63" spans="19:19" x14ac:dyDescent="0.2">
      <c r="S63" t="str">
        <f t="shared" ca="1" si="2"/>
        <v/>
      </c>
    </row>
    <row r="64" spans="19:19" x14ac:dyDescent="0.2">
      <c r="S64" t="str">
        <f t="shared" ca="1" si="2"/>
        <v/>
      </c>
    </row>
    <row r="65" spans="19:19" x14ac:dyDescent="0.2">
      <c r="S65" t="str">
        <f t="shared" ca="1" si="2"/>
        <v/>
      </c>
    </row>
    <row r="66" spans="19:19" x14ac:dyDescent="0.2">
      <c r="S66" t="str">
        <f t="shared" ca="1" si="2"/>
        <v/>
      </c>
    </row>
    <row r="67" spans="19:19" x14ac:dyDescent="0.2">
      <c r="S67" t="str">
        <f t="shared" ca="1" si="2"/>
        <v/>
      </c>
    </row>
    <row r="68" spans="19:19" x14ac:dyDescent="0.2">
      <c r="S68" t="str">
        <f t="shared" ca="1" si="2"/>
        <v/>
      </c>
    </row>
    <row r="69" spans="19:19" x14ac:dyDescent="0.2">
      <c r="S69" t="str">
        <f t="shared" ca="1" si="2"/>
        <v/>
      </c>
    </row>
    <row r="70" spans="19:19" x14ac:dyDescent="0.2">
      <c r="S70" t="str">
        <f t="shared" ca="1" si="2"/>
        <v/>
      </c>
    </row>
    <row r="71" spans="19:19" x14ac:dyDescent="0.2">
      <c r="S71" t="str">
        <f t="shared" ca="1" si="2"/>
        <v/>
      </c>
    </row>
    <row r="72" spans="19:19" x14ac:dyDescent="0.2">
      <c r="S72" t="str">
        <f t="shared" ca="1" si="2"/>
        <v/>
      </c>
    </row>
    <row r="73" spans="19:19" x14ac:dyDescent="0.2">
      <c r="S73" t="str">
        <f t="shared" ca="1" si="2"/>
        <v/>
      </c>
    </row>
    <row r="74" spans="19:19" x14ac:dyDescent="0.2">
      <c r="S74" t="str">
        <f t="shared" ca="1" si="2"/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ref="S90:S121" ca="1" si="3"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 spans="19:19" x14ac:dyDescent="0.2">
      <c r="S91" t="str">
        <f t="shared" ca="1" si="3"/>
        <v/>
      </c>
    </row>
    <row r="92" spans="19:19" x14ac:dyDescent="0.2">
      <c r="S92" t="str">
        <f t="shared" ca="1" si="3"/>
        <v/>
      </c>
    </row>
    <row r="93" spans="19:19" x14ac:dyDescent="0.2">
      <c r="S93" t="str">
        <f t="shared" ca="1" si="3"/>
        <v/>
      </c>
    </row>
    <row r="94" spans="19:19" x14ac:dyDescent="0.2">
      <c r="S94" t="str">
        <f t="shared" ca="1" si="3"/>
        <v/>
      </c>
    </row>
    <row r="95" spans="19:19" x14ac:dyDescent="0.2">
      <c r="S95" t="str">
        <f t="shared" ca="1" si="3"/>
        <v/>
      </c>
    </row>
    <row r="96" spans="19:19" x14ac:dyDescent="0.2">
      <c r="S96" t="str">
        <f t="shared" ca="1" si="3"/>
        <v/>
      </c>
    </row>
    <row r="97" spans="19:19" x14ac:dyDescent="0.2">
      <c r="S97" t="str">
        <f t="shared" ca="1" si="3"/>
        <v/>
      </c>
    </row>
    <row r="98" spans="19:19" x14ac:dyDescent="0.2">
      <c r="S98" t="str">
        <f t="shared" ca="1" si="3"/>
        <v/>
      </c>
    </row>
    <row r="99" spans="19:19" x14ac:dyDescent="0.2">
      <c r="S99" t="str">
        <f t="shared" ca="1" si="3"/>
        <v/>
      </c>
    </row>
    <row r="100" spans="19:19" x14ac:dyDescent="0.2">
      <c r="S100" t="str">
        <f t="shared" ca="1" si="3"/>
        <v/>
      </c>
    </row>
    <row r="101" spans="19:19" x14ac:dyDescent="0.2">
      <c r="S101" t="str">
        <f t="shared" ca="1" si="3"/>
        <v/>
      </c>
    </row>
    <row r="102" spans="19:19" x14ac:dyDescent="0.2">
      <c r="S102" t="str">
        <f t="shared" ca="1" si="3"/>
        <v/>
      </c>
    </row>
    <row r="103" spans="19:19" x14ac:dyDescent="0.2">
      <c r="S103" t="str">
        <f t="shared" ca="1" si="3"/>
        <v/>
      </c>
    </row>
    <row r="104" spans="19:19" x14ac:dyDescent="0.2">
      <c r="S104" t="str">
        <f t="shared" ca="1" si="3"/>
        <v/>
      </c>
    </row>
    <row r="105" spans="19:19" x14ac:dyDescent="0.2">
      <c r="S105" t="str">
        <f t="shared" ca="1" si="3"/>
        <v/>
      </c>
    </row>
    <row r="106" spans="19:19" x14ac:dyDescent="0.2">
      <c r="S106" t="str">
        <f t="shared" ca="1" si="3"/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ref="S122:S153" ca="1" si="4"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 spans="19:19" x14ac:dyDescent="0.2">
      <c r="S123" t="str">
        <f t="shared" ca="1" si="4"/>
        <v/>
      </c>
    </row>
    <row r="124" spans="19:19" x14ac:dyDescent="0.2">
      <c r="S124" t="str">
        <f t="shared" ca="1" si="4"/>
        <v/>
      </c>
    </row>
    <row r="125" spans="19:19" x14ac:dyDescent="0.2">
      <c r="S125" t="str">
        <f t="shared" ca="1" si="4"/>
        <v/>
      </c>
    </row>
    <row r="126" spans="19:19" x14ac:dyDescent="0.2">
      <c r="S126" t="str">
        <f t="shared" ca="1" si="4"/>
        <v/>
      </c>
    </row>
    <row r="127" spans="19:19" x14ac:dyDescent="0.2">
      <c r="S127" t="str">
        <f t="shared" ca="1" si="4"/>
        <v/>
      </c>
    </row>
    <row r="128" spans="19:19" x14ac:dyDescent="0.2">
      <c r="S128" t="str">
        <f t="shared" ca="1" si="4"/>
        <v/>
      </c>
    </row>
    <row r="129" spans="19:19" x14ac:dyDescent="0.2">
      <c r="S129" t="str">
        <f t="shared" ca="1" si="4"/>
        <v/>
      </c>
    </row>
    <row r="130" spans="19:19" x14ac:dyDescent="0.2">
      <c r="S130" t="str">
        <f t="shared" ca="1" si="4"/>
        <v/>
      </c>
    </row>
    <row r="131" spans="19:19" x14ac:dyDescent="0.2">
      <c r="S131" t="str">
        <f t="shared" ca="1" si="4"/>
        <v/>
      </c>
    </row>
    <row r="132" spans="19:19" x14ac:dyDescent="0.2">
      <c r="S132" t="str">
        <f t="shared" ca="1" si="4"/>
        <v/>
      </c>
    </row>
    <row r="133" spans="19:19" x14ac:dyDescent="0.2">
      <c r="S133" t="str">
        <f t="shared" ca="1" si="4"/>
        <v/>
      </c>
    </row>
    <row r="134" spans="19:19" x14ac:dyDescent="0.2">
      <c r="S134" t="str">
        <f t="shared" ca="1" si="4"/>
        <v/>
      </c>
    </row>
    <row r="135" spans="19:19" x14ac:dyDescent="0.2">
      <c r="S135" t="str">
        <f t="shared" ca="1" si="4"/>
        <v/>
      </c>
    </row>
    <row r="136" spans="19:19" x14ac:dyDescent="0.2">
      <c r="S136" t="str">
        <f t="shared" ca="1" si="4"/>
        <v/>
      </c>
    </row>
    <row r="137" spans="19:19" x14ac:dyDescent="0.2">
      <c r="S137" t="str">
        <f t="shared" ca="1" si="4"/>
        <v/>
      </c>
    </row>
    <row r="138" spans="19:19" x14ac:dyDescent="0.2">
      <c r="S138" t="str">
        <f t="shared" ca="1" si="4"/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ref="S154:S185" ca="1" si="5"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 spans="19:19" x14ac:dyDescent="0.2">
      <c r="S155" t="str">
        <f t="shared" ca="1" si="5"/>
        <v/>
      </c>
    </row>
    <row r="156" spans="19:19" x14ac:dyDescent="0.2">
      <c r="S156" t="str">
        <f t="shared" ca="1" si="5"/>
        <v/>
      </c>
    </row>
    <row r="157" spans="19:19" x14ac:dyDescent="0.2">
      <c r="S157" t="str">
        <f t="shared" ca="1" si="5"/>
        <v/>
      </c>
    </row>
    <row r="158" spans="19:19" x14ac:dyDescent="0.2">
      <c r="S158" t="str">
        <f t="shared" ca="1" si="5"/>
        <v/>
      </c>
    </row>
    <row r="159" spans="19:19" x14ac:dyDescent="0.2">
      <c r="S159" t="str">
        <f t="shared" ca="1" si="5"/>
        <v/>
      </c>
    </row>
    <row r="160" spans="19:19" x14ac:dyDescent="0.2">
      <c r="S160" t="str">
        <f t="shared" ca="1" si="5"/>
        <v/>
      </c>
    </row>
    <row r="161" spans="19:19" x14ac:dyDescent="0.2">
      <c r="S161" t="str">
        <f t="shared" ca="1" si="5"/>
        <v/>
      </c>
    </row>
    <row r="162" spans="19:19" x14ac:dyDescent="0.2">
      <c r="S162" t="str">
        <f t="shared" ca="1" si="5"/>
        <v/>
      </c>
    </row>
    <row r="163" spans="19:19" x14ac:dyDescent="0.2">
      <c r="S163" t="str">
        <f t="shared" ca="1" si="5"/>
        <v/>
      </c>
    </row>
    <row r="164" spans="19:19" x14ac:dyDescent="0.2">
      <c r="S164" t="str">
        <f t="shared" ca="1" si="5"/>
        <v/>
      </c>
    </row>
    <row r="165" spans="19:19" x14ac:dyDescent="0.2">
      <c r="S165" t="str">
        <f t="shared" ca="1" si="5"/>
        <v/>
      </c>
    </row>
    <row r="166" spans="19:19" x14ac:dyDescent="0.2">
      <c r="S166" t="str">
        <f t="shared" ca="1" si="5"/>
        <v/>
      </c>
    </row>
    <row r="167" spans="19:19" x14ac:dyDescent="0.2">
      <c r="S167" t="str">
        <f t="shared" ca="1" si="5"/>
        <v/>
      </c>
    </row>
    <row r="168" spans="19:19" x14ac:dyDescent="0.2">
      <c r="S168" t="str">
        <f t="shared" ca="1" si="5"/>
        <v/>
      </c>
    </row>
    <row r="169" spans="19:19" x14ac:dyDescent="0.2">
      <c r="S169" t="str">
        <f t="shared" ca="1" si="5"/>
        <v/>
      </c>
    </row>
    <row r="170" spans="19:19" x14ac:dyDescent="0.2">
      <c r="S170" t="str">
        <f t="shared" ca="1" si="5"/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ref="S186:S209" ca="1" si="6"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 spans="19:19" x14ac:dyDescent="0.2">
      <c r="S187" t="str">
        <f t="shared" ca="1" si="6"/>
        <v/>
      </c>
    </row>
    <row r="188" spans="19:19" x14ac:dyDescent="0.2">
      <c r="S188" t="str">
        <f t="shared" ca="1" si="6"/>
        <v/>
      </c>
    </row>
    <row r="189" spans="19:19" x14ac:dyDescent="0.2">
      <c r="S189" t="str">
        <f t="shared" ca="1" si="6"/>
        <v/>
      </c>
    </row>
    <row r="190" spans="19:19" x14ac:dyDescent="0.2">
      <c r="S190" t="str">
        <f t="shared" ca="1" si="6"/>
        <v/>
      </c>
    </row>
    <row r="191" spans="19:19" x14ac:dyDescent="0.2">
      <c r="S191" t="str">
        <f t="shared" ca="1" si="6"/>
        <v/>
      </c>
    </row>
    <row r="192" spans="19:19" x14ac:dyDescent="0.2">
      <c r="S192" t="str">
        <f t="shared" ca="1" si="6"/>
        <v/>
      </c>
    </row>
    <row r="193" spans="19:19" x14ac:dyDescent="0.2">
      <c r="S193" t="str">
        <f t="shared" ca="1" si="6"/>
        <v/>
      </c>
    </row>
    <row r="194" spans="19:19" x14ac:dyDescent="0.2">
      <c r="S194" t="str">
        <f t="shared" ca="1" si="6"/>
        <v/>
      </c>
    </row>
    <row r="195" spans="19:19" x14ac:dyDescent="0.2">
      <c r="S195" t="str">
        <f t="shared" ca="1" si="6"/>
        <v/>
      </c>
    </row>
    <row r="196" spans="19:19" x14ac:dyDescent="0.2">
      <c r="S196" t="str">
        <f t="shared" ca="1" si="6"/>
        <v/>
      </c>
    </row>
    <row r="197" spans="19:19" x14ac:dyDescent="0.2">
      <c r="S197" t="str">
        <f t="shared" ca="1" si="6"/>
        <v/>
      </c>
    </row>
    <row r="198" spans="19:19" x14ac:dyDescent="0.2">
      <c r="S198" t="str">
        <f t="shared" ca="1" si="6"/>
        <v/>
      </c>
    </row>
    <row r="199" spans="19:19" x14ac:dyDescent="0.2">
      <c r="S199" t="str">
        <f t="shared" ca="1" si="6"/>
        <v/>
      </c>
    </row>
    <row r="200" spans="19:19" x14ac:dyDescent="0.2">
      <c r="S200" t="str">
        <f t="shared" ca="1" si="6"/>
        <v/>
      </c>
    </row>
    <row r="201" spans="19:19" x14ac:dyDescent="0.2">
      <c r="S201" t="str">
        <f t="shared" ca="1" si="6"/>
        <v/>
      </c>
    </row>
    <row r="202" spans="19:19" x14ac:dyDescent="0.2">
      <c r="S202" t="str">
        <f t="shared" ca="1" si="6"/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7" priority="1" operator="equal">
      <formula>"✗"</formula>
    </cfRule>
    <cfRule type="cellIs" dxfId="6" priority="2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</dataValidation>
    <dataValidation type="list" sqref="B5" xr:uid="{00000000-0002-0000-0300-000001000000}">
      <formula1>"1,1000,1000000"</formula1>
    </dataValidation>
    <dataValidation type="list" allowBlank="1" sqref="A10:A209" xr:uid="{00000000-0002-0000-0300-000002000000}">
      <formula1>"section,item,subtotal,total"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43</v>
      </c>
      <c r="B1" s="4" t="s">
        <v>138</v>
      </c>
    </row>
    <row r="2" spans="1:20" x14ac:dyDescent="0.2">
      <c r="A2" s="3" t="s">
        <v>45</v>
      </c>
      <c r="B2" s="4" t="s">
        <v>139</v>
      </c>
    </row>
    <row r="3" spans="1:20" x14ac:dyDescent="0.2">
      <c r="A3" s="3" t="s">
        <v>47</v>
      </c>
      <c r="B3" s="4" t="s">
        <v>88</v>
      </c>
      <c r="C3" t="s">
        <v>49</v>
      </c>
    </row>
    <row r="4" spans="1:20" x14ac:dyDescent="0.2">
      <c r="A4" s="3" t="s">
        <v>50</v>
      </c>
      <c r="B4" s="4" t="s">
        <v>51</v>
      </c>
    </row>
    <row r="5" spans="1:20" x14ac:dyDescent="0.2">
      <c r="A5" s="3" t="s">
        <v>52</v>
      </c>
      <c r="B5" s="4">
        <v>1</v>
      </c>
      <c r="C5" t="s">
        <v>53</v>
      </c>
    </row>
    <row r="7" spans="1:20" ht="16" x14ac:dyDescent="0.2">
      <c r="A7" s="5" t="s">
        <v>54</v>
      </c>
      <c r="B7" s="5" t="s">
        <v>55</v>
      </c>
      <c r="C7" s="5" t="s">
        <v>56</v>
      </c>
      <c r="D7" s="5" t="s">
        <v>57</v>
      </c>
      <c r="E7" s="5" t="s">
        <v>58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2</v>
      </c>
      <c r="Q7" s="5" t="s">
        <v>2</v>
      </c>
      <c r="R7" s="5" t="s">
        <v>59</v>
      </c>
      <c r="S7" s="5" t="s">
        <v>60</v>
      </c>
      <c r="T7" s="5" t="s">
        <v>42</v>
      </c>
    </row>
    <row r="8" spans="1:20" x14ac:dyDescent="0.2">
      <c r="C8" t="s">
        <v>61</v>
      </c>
      <c r="D8" s="4" t="s">
        <v>28</v>
      </c>
      <c r="E8" s="4" t="s">
        <v>62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</row>
    <row r="9" spans="1:20" x14ac:dyDescent="0.2">
      <c r="C9" t="s">
        <v>63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</row>
    <row r="10" spans="1:20" x14ac:dyDescent="0.2">
      <c r="A10" t="s">
        <v>67</v>
      </c>
      <c r="B10" t="s">
        <v>140</v>
      </c>
      <c r="C10" t="s">
        <v>2</v>
      </c>
      <c r="D10">
        <v>1039710604</v>
      </c>
      <c r="E10">
        <v>537948379</v>
      </c>
      <c r="S10" t="str">
        <f ca="1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67</v>
      </c>
      <c r="B11" t="s">
        <v>136</v>
      </c>
      <c r="C11" t="s">
        <v>2</v>
      </c>
      <c r="D11">
        <v>41110344</v>
      </c>
      <c r="E11">
        <v>-35437775</v>
      </c>
      <c r="S11" t="str">
        <f ca="1"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 spans="1:20" x14ac:dyDescent="0.2">
      <c r="A12" t="s">
        <v>67</v>
      </c>
      <c r="B12" t="s">
        <v>141</v>
      </c>
      <c r="C12" t="s">
        <v>2</v>
      </c>
      <c r="D12" t="s">
        <v>135</v>
      </c>
      <c r="E12">
        <v>575000000</v>
      </c>
      <c r="S12" t="str">
        <f ca="1"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 spans="1:20" x14ac:dyDescent="0.2">
      <c r="A13" t="s">
        <v>67</v>
      </c>
      <c r="B13" t="s">
        <v>142</v>
      </c>
      <c r="C13" t="s">
        <v>2</v>
      </c>
      <c r="D13">
        <v>-83425000</v>
      </c>
      <c r="E13">
        <v>-37800000</v>
      </c>
      <c r="S13" t="str">
        <f ca="1"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 spans="1:20" x14ac:dyDescent="0.2">
      <c r="A14" t="s">
        <v>82</v>
      </c>
      <c r="B14" t="s">
        <v>143</v>
      </c>
      <c r="C14" t="s">
        <v>2</v>
      </c>
      <c r="D14">
        <v>997395948</v>
      </c>
      <c r="E14">
        <v>1039710604</v>
      </c>
      <c r="R14" t="s">
        <v>144</v>
      </c>
      <c r="S14" t="str">
        <f>IF($R14="","",IF(AND(IF(OR(ISNUMBER(D14),D14="-"),ABS(N(D14)-(SUM(D10,D11,D12,D13)))&lt;=1,TRUE),IF(OR(ISNUMBER(E14),E14="-"),ABS(N(E14)-(SUM(E10,E11,E12,E13)))&lt;=1,TRUE)),"✓","✗"))</f>
        <v>✓</v>
      </c>
    </row>
    <row r="15" spans="1:20" x14ac:dyDescent="0.2">
      <c r="S15" t="str">
        <f t="shared" ref="S15:S46" ca="1" si="0"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 spans="1:20" x14ac:dyDescent="0.2">
      <c r="S16" t="str">
        <f t="shared" ca="1" si="0"/>
        <v/>
      </c>
    </row>
    <row r="17" spans="19:19" x14ac:dyDescent="0.2">
      <c r="S17" t="str">
        <f t="shared" ca="1" si="0"/>
        <v/>
      </c>
    </row>
    <row r="18" spans="19:19" x14ac:dyDescent="0.2">
      <c r="S18" t="str">
        <f t="shared" ca="1" si="0"/>
        <v/>
      </c>
    </row>
    <row r="19" spans="19:19" x14ac:dyDescent="0.2">
      <c r="S19" t="str">
        <f t="shared" ca="1" si="0"/>
        <v/>
      </c>
    </row>
    <row r="20" spans="19:19" x14ac:dyDescent="0.2">
      <c r="S20" t="str">
        <f t="shared" ca="1" si="0"/>
        <v/>
      </c>
    </row>
    <row r="21" spans="19:19" x14ac:dyDescent="0.2">
      <c r="S21" t="str">
        <f t="shared" ca="1" si="0"/>
        <v/>
      </c>
    </row>
    <row r="22" spans="19:19" x14ac:dyDescent="0.2">
      <c r="S22" t="str">
        <f t="shared" ca="1" si="0"/>
        <v/>
      </c>
    </row>
    <row r="23" spans="19:19" x14ac:dyDescent="0.2">
      <c r="S23" t="str">
        <f t="shared" ca="1" si="0"/>
        <v/>
      </c>
    </row>
    <row r="24" spans="19:19" x14ac:dyDescent="0.2">
      <c r="S24" t="str">
        <f t="shared" ca="1" si="0"/>
        <v/>
      </c>
    </row>
    <row r="25" spans="19:19" x14ac:dyDescent="0.2">
      <c r="S25" t="str">
        <f t="shared" ca="1" si="0"/>
        <v/>
      </c>
    </row>
    <row r="26" spans="19:19" x14ac:dyDescent="0.2">
      <c r="S26" t="str">
        <f t="shared" ca="1" si="0"/>
        <v/>
      </c>
    </row>
    <row r="27" spans="19:19" x14ac:dyDescent="0.2">
      <c r="S27" t="str">
        <f t="shared" ca="1" si="0"/>
        <v/>
      </c>
    </row>
    <row r="28" spans="19:19" x14ac:dyDescent="0.2">
      <c r="S28" t="str">
        <f t="shared" ca="1" si="0"/>
        <v/>
      </c>
    </row>
    <row r="29" spans="19:19" x14ac:dyDescent="0.2">
      <c r="S29" t="str">
        <f t="shared" ca="1" si="0"/>
        <v/>
      </c>
    </row>
    <row r="30" spans="19:19" x14ac:dyDescent="0.2">
      <c r="S30" t="str">
        <f t="shared" ca="1" si="0"/>
        <v/>
      </c>
    </row>
    <row r="31" spans="19:19" x14ac:dyDescent="0.2">
      <c r="S31" t="str">
        <f t="shared" ca="1" si="0"/>
        <v/>
      </c>
    </row>
    <row r="32" spans="19:19" x14ac:dyDescent="0.2">
      <c r="S32" t="str">
        <f t="shared" ca="1" si="0"/>
        <v/>
      </c>
    </row>
    <row r="33" spans="19:19" x14ac:dyDescent="0.2">
      <c r="S33" t="str">
        <f t="shared" ca="1" si="0"/>
        <v/>
      </c>
    </row>
    <row r="34" spans="19:19" x14ac:dyDescent="0.2">
      <c r="S34" t="str">
        <f t="shared" ca="1" si="0"/>
        <v/>
      </c>
    </row>
    <row r="35" spans="19:19" x14ac:dyDescent="0.2">
      <c r="S35" t="str">
        <f t="shared" ca="1" si="0"/>
        <v/>
      </c>
    </row>
    <row r="36" spans="19:19" x14ac:dyDescent="0.2">
      <c r="S36" t="str">
        <f t="shared" ca="1" si="0"/>
        <v/>
      </c>
    </row>
    <row r="37" spans="19:19" x14ac:dyDescent="0.2">
      <c r="S37" t="str">
        <f t="shared" ca="1" si="0"/>
        <v/>
      </c>
    </row>
    <row r="38" spans="19:19" x14ac:dyDescent="0.2">
      <c r="S38" t="str">
        <f t="shared" ca="1" si="0"/>
        <v/>
      </c>
    </row>
    <row r="39" spans="19:19" x14ac:dyDescent="0.2">
      <c r="S39" t="str">
        <f t="shared" ca="1" si="0"/>
        <v/>
      </c>
    </row>
    <row r="40" spans="19:19" x14ac:dyDescent="0.2">
      <c r="S40" t="str">
        <f t="shared" ca="1" si="0"/>
        <v/>
      </c>
    </row>
    <row r="41" spans="19:19" x14ac:dyDescent="0.2">
      <c r="S41" t="str">
        <f t="shared" ca="1" si="0"/>
        <v/>
      </c>
    </row>
    <row r="42" spans="19:19" x14ac:dyDescent="0.2">
      <c r="S42" t="str">
        <f t="shared" ca="1" si="0"/>
        <v/>
      </c>
    </row>
    <row r="43" spans="19:19" x14ac:dyDescent="0.2">
      <c r="S43" t="str">
        <f t="shared" ca="1" si="0"/>
        <v/>
      </c>
    </row>
    <row r="44" spans="19:19" x14ac:dyDescent="0.2">
      <c r="S44" t="str">
        <f t="shared" ca="1" si="0"/>
        <v/>
      </c>
    </row>
    <row r="45" spans="19:19" x14ac:dyDescent="0.2">
      <c r="S45" t="str">
        <f t="shared" ca="1" si="0"/>
        <v/>
      </c>
    </row>
    <row r="46" spans="19:19" x14ac:dyDescent="0.2">
      <c r="S46" t="str">
        <f t="shared" ca="1" si="0"/>
        <v/>
      </c>
    </row>
    <row r="47" spans="19:19" x14ac:dyDescent="0.2">
      <c r="S47" t="str">
        <f t="shared" ref="S47:S78" ca="1" si="1"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 spans="19:19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ca="1" si="1"/>
        <v/>
      </c>
    </row>
    <row r="59" spans="19:19" x14ac:dyDescent="0.2">
      <c r="S59" t="str">
        <f t="shared" ca="1" si="1"/>
        <v/>
      </c>
    </row>
    <row r="60" spans="19:19" x14ac:dyDescent="0.2">
      <c r="S60" t="str">
        <f t="shared" ca="1" si="1"/>
        <v/>
      </c>
    </row>
    <row r="61" spans="19:19" x14ac:dyDescent="0.2">
      <c r="S61" t="str">
        <f t="shared" ca="1" si="1"/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ca="1" si="1"/>
        <v/>
      </c>
    </row>
    <row r="75" spans="19:19" x14ac:dyDescent="0.2">
      <c r="S75" t="str">
        <f t="shared" ca="1" si="1"/>
        <v/>
      </c>
    </row>
    <row r="76" spans="19:19" x14ac:dyDescent="0.2">
      <c r="S76" t="str">
        <f t="shared" ca="1" si="1"/>
        <v/>
      </c>
    </row>
    <row r="77" spans="19:19" x14ac:dyDescent="0.2">
      <c r="S77" t="str">
        <f t="shared" ca="1" si="1"/>
        <v/>
      </c>
    </row>
    <row r="78" spans="19:19" x14ac:dyDescent="0.2">
      <c r="S78" t="str">
        <f t="shared" ca="1" si="1"/>
        <v/>
      </c>
    </row>
    <row r="79" spans="19:19" x14ac:dyDescent="0.2">
      <c r="S79" t="str">
        <f t="shared" ref="S79:S110" ca="1" si="2"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ca="1" si="2"/>
        <v/>
      </c>
    </row>
    <row r="107" spans="19:19" x14ac:dyDescent="0.2">
      <c r="S107" t="str">
        <f t="shared" ca="1" si="2"/>
        <v/>
      </c>
    </row>
    <row r="108" spans="19:19" x14ac:dyDescent="0.2">
      <c r="S108" t="str">
        <f t="shared" ca="1" si="2"/>
        <v/>
      </c>
    </row>
    <row r="109" spans="19:19" x14ac:dyDescent="0.2">
      <c r="S109" t="str">
        <f t="shared" ca="1" si="2"/>
        <v/>
      </c>
    </row>
    <row r="110" spans="19:19" x14ac:dyDescent="0.2">
      <c r="S110" t="str">
        <f t="shared" ca="1" si="2"/>
        <v/>
      </c>
    </row>
    <row r="111" spans="19:19" x14ac:dyDescent="0.2">
      <c r="S111" t="str">
        <f t="shared" ref="S111:S142" ca="1" si="3"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ca="1" si="3"/>
        <v/>
      </c>
    </row>
    <row r="139" spans="19:19" x14ac:dyDescent="0.2">
      <c r="S139" t="str">
        <f t="shared" ca="1" si="3"/>
        <v/>
      </c>
    </row>
    <row r="140" spans="19:19" x14ac:dyDescent="0.2">
      <c r="S140" t="str">
        <f t="shared" ca="1" si="3"/>
        <v/>
      </c>
    </row>
    <row r="141" spans="19:19" x14ac:dyDescent="0.2">
      <c r="S141" t="str">
        <f t="shared" ca="1" si="3"/>
        <v/>
      </c>
    </row>
    <row r="142" spans="19:19" x14ac:dyDescent="0.2">
      <c r="S142" t="str">
        <f t="shared" ca="1" si="3"/>
        <v/>
      </c>
    </row>
    <row r="143" spans="19:19" x14ac:dyDescent="0.2">
      <c r="S143" t="str">
        <f t="shared" ref="S143:S174" ca="1" si="4"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ca="1" si="4"/>
        <v/>
      </c>
    </row>
    <row r="171" spans="19:19" x14ac:dyDescent="0.2">
      <c r="S171" t="str">
        <f t="shared" ca="1" si="4"/>
        <v/>
      </c>
    </row>
    <row r="172" spans="19:19" x14ac:dyDescent="0.2">
      <c r="S172" t="str">
        <f t="shared" ca="1" si="4"/>
        <v/>
      </c>
    </row>
    <row r="173" spans="19:19" x14ac:dyDescent="0.2">
      <c r="S173" t="str">
        <f t="shared" ca="1" si="4"/>
        <v/>
      </c>
    </row>
    <row r="174" spans="19:19" x14ac:dyDescent="0.2">
      <c r="S174" t="str">
        <f t="shared" ca="1" si="4"/>
        <v/>
      </c>
    </row>
    <row r="175" spans="19:19" x14ac:dyDescent="0.2">
      <c r="S175" t="str">
        <f t="shared" ref="S175:S209" ca="1" si="5"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ca="1" si="5"/>
        <v/>
      </c>
    </row>
    <row r="203" spans="19:19" x14ac:dyDescent="0.2">
      <c r="S203" t="str">
        <f t="shared" ca="1" si="5"/>
        <v/>
      </c>
    </row>
    <row r="204" spans="19:19" x14ac:dyDescent="0.2">
      <c r="S204" t="str">
        <f t="shared" ca="1" si="5"/>
        <v/>
      </c>
    </row>
    <row r="205" spans="19:19" x14ac:dyDescent="0.2">
      <c r="S205" t="str">
        <f t="shared" ca="1" si="5"/>
        <v/>
      </c>
    </row>
    <row r="206" spans="19:19" x14ac:dyDescent="0.2">
      <c r="S206" t="str">
        <f t="shared" ca="1" si="5"/>
        <v/>
      </c>
    </row>
    <row r="207" spans="19:19" x14ac:dyDescent="0.2">
      <c r="S207" t="str">
        <f t="shared" ca="1" si="5"/>
        <v/>
      </c>
    </row>
    <row r="208" spans="19:19" x14ac:dyDescent="0.2">
      <c r="S208" t="str">
        <f t="shared" ca="1" si="5"/>
        <v/>
      </c>
    </row>
    <row r="209" spans="19:19" x14ac:dyDescent="0.2">
      <c r="S209" t="str">
        <f t="shared" ca="1" si="5"/>
        <v/>
      </c>
    </row>
  </sheetData>
  <conditionalFormatting sqref="S10:S209">
    <cfRule type="cellIs" dxfId="5" priority="1" operator="equal">
      <formula>"✗"</formula>
    </cfRule>
    <cfRule type="cellIs" dxfId="4" priority="2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</dataValidation>
    <dataValidation type="list" sqref="B5" xr:uid="{00000000-0002-0000-0400-000001000000}">
      <formula1>"1,1000,1000000"</formula1>
    </dataValidation>
    <dataValidation type="list" allowBlank="1" sqref="A10:A209" xr:uid="{00000000-0002-0000-0400-000002000000}">
      <formula1>"section,item,subtotal,total"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43</v>
      </c>
      <c r="B1" s="4" t="s">
        <v>145</v>
      </c>
    </row>
    <row r="2" spans="1:20" x14ac:dyDescent="0.2">
      <c r="A2" s="3" t="s">
        <v>45</v>
      </c>
      <c r="B2" s="4" t="s">
        <v>146</v>
      </c>
    </row>
    <row r="3" spans="1:20" x14ac:dyDescent="0.2">
      <c r="A3" s="3" t="s">
        <v>47</v>
      </c>
      <c r="B3" s="4" t="s">
        <v>93</v>
      </c>
      <c r="C3" t="s">
        <v>49</v>
      </c>
    </row>
    <row r="4" spans="1:20" x14ac:dyDescent="0.2">
      <c r="A4" s="3" t="s">
        <v>50</v>
      </c>
      <c r="B4" s="4" t="s">
        <v>51</v>
      </c>
    </row>
    <row r="5" spans="1:20" x14ac:dyDescent="0.2">
      <c r="A5" s="3" t="s">
        <v>52</v>
      </c>
      <c r="B5" s="4">
        <v>1</v>
      </c>
      <c r="C5" t="s">
        <v>53</v>
      </c>
    </row>
    <row r="7" spans="1:20" ht="16" x14ac:dyDescent="0.2">
      <c r="A7" s="5" t="s">
        <v>54</v>
      </c>
      <c r="B7" s="5" t="s">
        <v>55</v>
      </c>
      <c r="C7" s="5" t="s">
        <v>56</v>
      </c>
      <c r="D7" s="5" t="s">
        <v>57</v>
      </c>
      <c r="E7" s="5" t="s">
        <v>58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2</v>
      </c>
      <c r="Q7" s="5" t="s">
        <v>2</v>
      </c>
      <c r="R7" s="5" t="s">
        <v>59</v>
      </c>
      <c r="S7" s="5" t="s">
        <v>60</v>
      </c>
      <c r="T7" s="5" t="s">
        <v>42</v>
      </c>
    </row>
    <row r="8" spans="1:20" x14ac:dyDescent="0.2">
      <c r="C8" t="s">
        <v>61</v>
      </c>
      <c r="D8" s="4" t="s">
        <v>28</v>
      </c>
      <c r="E8" s="4" t="s">
        <v>62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</row>
    <row r="9" spans="1:20" x14ac:dyDescent="0.2">
      <c r="C9" t="s">
        <v>63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</row>
    <row r="10" spans="1:20" x14ac:dyDescent="0.2">
      <c r="A10" t="s">
        <v>64</v>
      </c>
      <c r="B10" t="s">
        <v>147</v>
      </c>
      <c r="C10" t="s">
        <v>2</v>
      </c>
      <c r="S10" t="str">
        <f t="shared" ref="S10:S17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67</v>
      </c>
      <c r="B11" t="s">
        <v>148</v>
      </c>
      <c r="C11" t="s">
        <v>2</v>
      </c>
      <c r="D11">
        <v>41110344</v>
      </c>
      <c r="E11">
        <v>-35437775</v>
      </c>
      <c r="S11" t="str">
        <f t="shared" ca="1" si="0"/>
        <v/>
      </c>
    </row>
    <row r="12" spans="1:20" x14ac:dyDescent="0.2">
      <c r="A12" t="s">
        <v>64</v>
      </c>
      <c r="B12" t="s">
        <v>149</v>
      </c>
      <c r="C12" t="s">
        <v>2</v>
      </c>
      <c r="S12" t="str">
        <f t="shared" ca="1" si="0"/>
        <v/>
      </c>
    </row>
    <row r="13" spans="1:20" x14ac:dyDescent="0.2">
      <c r="A13" t="s">
        <v>67</v>
      </c>
      <c r="B13" t="s">
        <v>123</v>
      </c>
      <c r="C13" t="s">
        <v>69</v>
      </c>
      <c r="D13">
        <v>29130449</v>
      </c>
      <c r="E13">
        <v>16194638</v>
      </c>
      <c r="S13" t="str">
        <f t="shared" ca="1" si="0"/>
        <v/>
      </c>
    </row>
    <row r="14" spans="1:20" x14ac:dyDescent="0.2">
      <c r="A14" t="s">
        <v>67</v>
      </c>
      <c r="B14" t="s">
        <v>125</v>
      </c>
      <c r="C14" t="s">
        <v>126</v>
      </c>
      <c r="D14">
        <v>3500000</v>
      </c>
      <c r="E14">
        <v>249832</v>
      </c>
      <c r="S14" t="str">
        <f t="shared" ca="1" si="0"/>
        <v/>
      </c>
    </row>
    <row r="15" spans="1:20" x14ac:dyDescent="0.2">
      <c r="A15" t="s">
        <v>67</v>
      </c>
      <c r="B15" t="s">
        <v>150</v>
      </c>
      <c r="C15" t="s">
        <v>69</v>
      </c>
      <c r="D15">
        <v>26839816</v>
      </c>
      <c r="E15">
        <v>60147719</v>
      </c>
      <c r="S15" t="str">
        <f t="shared" ca="1" si="0"/>
        <v/>
      </c>
    </row>
    <row r="16" spans="1:20" x14ac:dyDescent="0.2">
      <c r="A16" t="s">
        <v>67</v>
      </c>
      <c r="B16" t="s">
        <v>151</v>
      </c>
      <c r="C16" t="s">
        <v>2</v>
      </c>
      <c r="D16">
        <v>-21199241</v>
      </c>
      <c r="E16">
        <v>1231454</v>
      </c>
      <c r="S16" t="str">
        <f t="shared" ca="1" si="0"/>
        <v/>
      </c>
    </row>
    <row r="17" spans="1:20" x14ac:dyDescent="0.2">
      <c r="A17" t="s">
        <v>67</v>
      </c>
      <c r="B17" t="s">
        <v>124</v>
      </c>
      <c r="C17" t="s">
        <v>88</v>
      </c>
      <c r="D17">
        <v>34525866</v>
      </c>
      <c r="E17">
        <v>12480293</v>
      </c>
      <c r="S17" t="str">
        <f t="shared" ca="1" si="0"/>
        <v/>
      </c>
    </row>
    <row r="18" spans="1:20" x14ac:dyDescent="0.2">
      <c r="A18" t="s">
        <v>70</v>
      </c>
      <c r="B18" t="s">
        <v>2</v>
      </c>
      <c r="C18" t="s">
        <v>2</v>
      </c>
      <c r="D18">
        <v>113907234</v>
      </c>
      <c r="E18">
        <v>54866161</v>
      </c>
      <c r="R18" t="s">
        <v>152</v>
      </c>
      <c r="S18" t="str">
        <f>IF($R18="","",IF(AND(IF(OR(ISNUMBER(D18),D18="-"),ABS(N(D18)-(SUM(D11,D13,D14,D15,D16,D17)))&lt;=1,TRUE),IF(OR(ISNUMBER(E18),E18="-"),ABS(N(E18)-(SUM(E11,E13,E14,E15,E16,E17)))&lt;=1,TRUE)),"✓","✗"))</f>
        <v>✓</v>
      </c>
    </row>
    <row r="19" spans="1:20" x14ac:dyDescent="0.2">
      <c r="A19" t="s">
        <v>64</v>
      </c>
      <c r="B19" t="s">
        <v>153</v>
      </c>
      <c r="C19" t="s">
        <v>2</v>
      </c>
      <c r="S19" t="str">
        <f t="shared" ref="S19:S26" ca="1" si="1"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 spans="1:20" x14ac:dyDescent="0.2">
      <c r="A20" t="s">
        <v>67</v>
      </c>
      <c r="B20" t="s">
        <v>76</v>
      </c>
      <c r="C20" t="s">
        <v>2</v>
      </c>
      <c r="D20">
        <v>-5576935</v>
      </c>
      <c r="E20">
        <v>-11830920</v>
      </c>
      <c r="S20" t="str">
        <f t="shared" ca="1" si="1"/>
        <v/>
      </c>
    </row>
    <row r="21" spans="1:20" x14ac:dyDescent="0.2">
      <c r="A21" t="s">
        <v>67</v>
      </c>
      <c r="B21" t="s">
        <v>154</v>
      </c>
      <c r="C21" t="s">
        <v>2</v>
      </c>
      <c r="D21">
        <v>-1105920</v>
      </c>
      <c r="E21">
        <v>1090566</v>
      </c>
      <c r="S21" t="str">
        <f t="shared" ca="1" si="1"/>
        <v/>
      </c>
    </row>
    <row r="22" spans="1:20" x14ac:dyDescent="0.2">
      <c r="A22" t="s">
        <v>67</v>
      </c>
      <c r="B22" t="s">
        <v>74</v>
      </c>
      <c r="C22" t="s">
        <v>2</v>
      </c>
      <c r="D22">
        <v>405933</v>
      </c>
      <c r="E22">
        <v>-3386838</v>
      </c>
      <c r="S22" t="str">
        <f t="shared" ca="1" si="1"/>
        <v/>
      </c>
    </row>
    <row r="23" spans="1:20" x14ac:dyDescent="0.2">
      <c r="A23" t="s">
        <v>67</v>
      </c>
      <c r="B23" t="s">
        <v>155</v>
      </c>
      <c r="C23" t="s">
        <v>2</v>
      </c>
      <c r="D23">
        <v>-13097088</v>
      </c>
      <c r="E23">
        <v>-8212357</v>
      </c>
      <c r="S23" t="str">
        <f t="shared" ca="1" si="1"/>
        <v/>
      </c>
    </row>
    <row r="24" spans="1:20" x14ac:dyDescent="0.2">
      <c r="A24" t="s">
        <v>67</v>
      </c>
      <c r="B24" t="s">
        <v>94</v>
      </c>
      <c r="C24" t="s">
        <v>2</v>
      </c>
      <c r="D24">
        <v>10822392</v>
      </c>
      <c r="E24">
        <v>-2415085</v>
      </c>
      <c r="S24" t="str">
        <f t="shared" ca="1" si="1"/>
        <v/>
      </c>
      <c r="T24" t="s">
        <v>96</v>
      </c>
    </row>
    <row r="25" spans="1:20" x14ac:dyDescent="0.2">
      <c r="A25" t="s">
        <v>67</v>
      </c>
      <c r="B25" t="s">
        <v>97</v>
      </c>
      <c r="C25" t="s">
        <v>2</v>
      </c>
      <c r="D25">
        <v>-35938897</v>
      </c>
      <c r="E25">
        <v>2906258</v>
      </c>
      <c r="S25" t="str">
        <f t="shared" ca="1" si="1"/>
        <v/>
      </c>
    </row>
    <row r="26" spans="1:20" x14ac:dyDescent="0.2">
      <c r="A26" t="s">
        <v>67</v>
      </c>
      <c r="B26" t="s">
        <v>98</v>
      </c>
      <c r="C26" t="s">
        <v>2</v>
      </c>
      <c r="D26">
        <v>-3790346</v>
      </c>
      <c r="E26">
        <v>13750567</v>
      </c>
      <c r="S26" t="str">
        <f t="shared" ca="1" si="1"/>
        <v/>
      </c>
    </row>
    <row r="27" spans="1:20" x14ac:dyDescent="0.2">
      <c r="A27" t="s">
        <v>82</v>
      </c>
      <c r="B27" t="s">
        <v>156</v>
      </c>
      <c r="C27" t="s">
        <v>2</v>
      </c>
      <c r="D27">
        <v>65626373</v>
      </c>
      <c r="E27">
        <v>46768352</v>
      </c>
      <c r="R27" t="s">
        <v>157</v>
      </c>
      <c r="S27" t="str">
        <f>IF($R27="","",IF(AND(IF(OR(ISNUMBER(D27),D27="-"),ABS(N(D27)-(SUM(D18,D20,D21,D22,D23,D24,D25,D26)))&lt;=1,TRUE),IF(OR(ISNUMBER(E27),E27="-"),ABS(N(E27)-(SUM(E18,E20,E21,E22,E23,E24,E25,E26)))&lt;=1,TRUE)),"✓","✗"))</f>
        <v>✓</v>
      </c>
    </row>
    <row r="28" spans="1:20" x14ac:dyDescent="0.2">
      <c r="A28" t="s">
        <v>64</v>
      </c>
      <c r="B28" t="s">
        <v>158</v>
      </c>
      <c r="C28" t="s">
        <v>2</v>
      </c>
      <c r="S28" t="str">
        <f ca="1"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 spans="1:20" x14ac:dyDescent="0.2">
      <c r="A29" t="s">
        <v>67</v>
      </c>
      <c r="B29" t="s">
        <v>159</v>
      </c>
      <c r="C29" t="s">
        <v>2</v>
      </c>
      <c r="D29">
        <v>-178454796</v>
      </c>
      <c r="E29">
        <v>-340765624</v>
      </c>
      <c r="S29" t="str">
        <f ca="1"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 spans="1:20" x14ac:dyDescent="0.2">
      <c r="A30" t="s">
        <v>67</v>
      </c>
      <c r="B30" t="s">
        <v>160</v>
      </c>
      <c r="C30" t="s">
        <v>2</v>
      </c>
      <c r="D30">
        <v>-3932684</v>
      </c>
      <c r="E30">
        <v>-6165708</v>
      </c>
      <c r="S30" t="str">
        <f ca="1"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 spans="1:20" x14ac:dyDescent="0.2">
      <c r="A31" t="s">
        <v>82</v>
      </c>
      <c r="B31" t="s">
        <v>161</v>
      </c>
      <c r="C31" t="s">
        <v>2</v>
      </c>
      <c r="D31">
        <v>-182387480</v>
      </c>
      <c r="E31">
        <v>-346931332</v>
      </c>
      <c r="R31" t="s">
        <v>162</v>
      </c>
      <c r="S31" t="str">
        <f>IF($R31="","",IF(AND(IF(OR(ISNUMBER(D31),D31="-"),ABS(N(D31)-(SUM(D29,D30)))&lt;=1,TRUE),IF(OR(ISNUMBER(E31),E31="-"),ABS(N(E31)-(SUM(E29,E30)))&lt;=1,TRUE)),"✓","✗"))</f>
        <v>✓</v>
      </c>
    </row>
    <row r="32" spans="1:20" x14ac:dyDescent="0.2">
      <c r="A32" t="s">
        <v>64</v>
      </c>
      <c r="B32" t="s">
        <v>163</v>
      </c>
      <c r="C32" t="s">
        <v>2</v>
      </c>
      <c r="S32" t="str">
        <f ca="1"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 spans="1:19" x14ac:dyDescent="0.2">
      <c r="A33" t="s">
        <v>67</v>
      </c>
      <c r="B33" t="s">
        <v>164</v>
      </c>
      <c r="C33" t="s">
        <v>108</v>
      </c>
      <c r="D33" t="s">
        <v>135</v>
      </c>
      <c r="E33">
        <v>250000000</v>
      </c>
      <c r="S33" t="str">
        <f ca="1"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 spans="1:19" x14ac:dyDescent="0.2">
      <c r="A34" t="s">
        <v>67</v>
      </c>
      <c r="B34" t="s">
        <v>165</v>
      </c>
      <c r="C34" t="s">
        <v>2</v>
      </c>
      <c r="D34">
        <v>-821863690</v>
      </c>
      <c r="E34">
        <v>-7818876</v>
      </c>
      <c r="S34" t="str">
        <f ca="1"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 spans="1:19" x14ac:dyDescent="0.2">
      <c r="A35" t="s">
        <v>67</v>
      </c>
      <c r="B35" t="s">
        <v>166</v>
      </c>
      <c r="C35" t="s">
        <v>93</v>
      </c>
      <c r="D35">
        <v>-71878125</v>
      </c>
      <c r="E35">
        <v>-35550000</v>
      </c>
      <c r="S35" t="str">
        <f ca="1"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 spans="1:19" x14ac:dyDescent="0.2">
      <c r="A36" t="s">
        <v>67</v>
      </c>
      <c r="B36" t="s">
        <v>167</v>
      </c>
      <c r="C36" t="s">
        <v>2</v>
      </c>
      <c r="D36">
        <v>975000000</v>
      </c>
      <c r="E36">
        <v>135000000</v>
      </c>
      <c r="S36" t="str">
        <f ca="1"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 spans="1:19" x14ac:dyDescent="0.2">
      <c r="A37" t="s">
        <v>82</v>
      </c>
      <c r="B37" t="s">
        <v>168</v>
      </c>
      <c r="C37" t="s">
        <v>2</v>
      </c>
      <c r="D37">
        <v>81258185</v>
      </c>
      <c r="E37">
        <v>341631124</v>
      </c>
      <c r="R37" t="s">
        <v>169</v>
      </c>
      <c r="S37" t="str">
        <f>IF($R37="","",IF(AND(IF(OR(ISNUMBER(D37),D37="-"),ABS(N(D37)-(SUM(D33,D34,D35,D36)))&lt;=1,TRUE),IF(OR(ISNUMBER(E37),E37="-"),ABS(N(E37)-(SUM(E33,E34,E35,E36)))&lt;=1,TRUE)),"✓","✗"))</f>
        <v>✓</v>
      </c>
    </row>
    <row r="38" spans="1:19" x14ac:dyDescent="0.2">
      <c r="A38" t="s">
        <v>82</v>
      </c>
      <c r="B38" t="s">
        <v>170</v>
      </c>
      <c r="C38" t="s">
        <v>2</v>
      </c>
      <c r="D38">
        <v>-35502922</v>
      </c>
      <c r="E38">
        <v>41468144</v>
      </c>
      <c r="R38" t="s">
        <v>171</v>
      </c>
      <c r="S38" t="str">
        <f>IF($R38="","",IF(AND(IF(OR(ISNUMBER(D38),D38="-"),ABS(N(D38)-(SUM(D27,D31,D37)))&lt;=1,TRUE),IF(OR(ISNUMBER(E38),E38="-"),ABS(N(E38)-(SUM(E27,E31,E37)))&lt;=1,TRUE)),"✓","✗"))</f>
        <v>✓</v>
      </c>
    </row>
    <row r="39" spans="1:19" x14ac:dyDescent="0.2">
      <c r="A39" t="s">
        <v>67</v>
      </c>
      <c r="B39" t="s">
        <v>172</v>
      </c>
      <c r="C39" t="s">
        <v>2</v>
      </c>
      <c r="D39">
        <v>62053842</v>
      </c>
      <c r="E39">
        <v>20585698</v>
      </c>
      <c r="S39" t="str">
        <f ca="1"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 spans="1:19" x14ac:dyDescent="0.2">
      <c r="A40" t="s">
        <v>82</v>
      </c>
      <c r="B40" t="s">
        <v>173</v>
      </c>
      <c r="C40" t="s">
        <v>2</v>
      </c>
      <c r="D40">
        <v>26550920</v>
      </c>
      <c r="E40">
        <v>62053842</v>
      </c>
      <c r="R40" t="s">
        <v>174</v>
      </c>
      <c r="S40" t="str">
        <f>IF($R40="","",IF(AND(IF(OR(ISNUMBER(D40),D40="-"),ABS(N(D40)-(SUM(D38,D39)))&lt;=1,TRUE),IF(OR(ISNUMBER(E40),E40="-"),ABS(N(E40)-(SUM(E38,E39)))&lt;=1,TRUE)),"✓","✗"))</f>
        <v>✓</v>
      </c>
    </row>
    <row r="41" spans="1:19" x14ac:dyDescent="0.2">
      <c r="S41" t="str">
        <f t="shared" ref="S41:S72" ca="1" si="2"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 spans="1:19" x14ac:dyDescent="0.2">
      <c r="S42" t="str">
        <f t="shared" ca="1" si="2"/>
        <v/>
      </c>
    </row>
    <row r="43" spans="1:19" x14ac:dyDescent="0.2">
      <c r="S43" t="str">
        <f t="shared" ca="1" si="2"/>
        <v/>
      </c>
    </row>
    <row r="44" spans="1:19" x14ac:dyDescent="0.2">
      <c r="S44" t="str">
        <f t="shared" ca="1" si="2"/>
        <v/>
      </c>
    </row>
    <row r="45" spans="1:19" x14ac:dyDescent="0.2">
      <c r="S45" t="str">
        <f t="shared" ca="1" si="2"/>
        <v/>
      </c>
    </row>
    <row r="46" spans="1:19" x14ac:dyDescent="0.2">
      <c r="S46" t="str">
        <f t="shared" ca="1" si="2"/>
        <v/>
      </c>
    </row>
    <row r="47" spans="1:19" x14ac:dyDescent="0.2">
      <c r="S47" t="str">
        <f t="shared" ca="1" si="2"/>
        <v/>
      </c>
    </row>
    <row r="48" spans="1:19" x14ac:dyDescent="0.2">
      <c r="S48" t="str">
        <f t="shared" ca="1" si="2"/>
        <v/>
      </c>
    </row>
    <row r="49" spans="19:19" x14ac:dyDescent="0.2">
      <c r="S49" t="str">
        <f t="shared" ca="1" si="2"/>
        <v/>
      </c>
    </row>
    <row r="50" spans="19:19" x14ac:dyDescent="0.2">
      <c r="S50" t="str">
        <f t="shared" ca="1" si="2"/>
        <v/>
      </c>
    </row>
    <row r="51" spans="19:19" x14ac:dyDescent="0.2">
      <c r="S51" t="str">
        <f t="shared" ca="1" si="2"/>
        <v/>
      </c>
    </row>
    <row r="52" spans="19:19" x14ac:dyDescent="0.2">
      <c r="S52" t="str">
        <f t="shared" ca="1" si="2"/>
        <v/>
      </c>
    </row>
    <row r="53" spans="19:19" x14ac:dyDescent="0.2">
      <c r="S53" t="str">
        <f t="shared" ca="1" si="2"/>
        <v/>
      </c>
    </row>
    <row r="54" spans="19:19" x14ac:dyDescent="0.2">
      <c r="S54" t="str">
        <f t="shared" ca="1" si="2"/>
        <v/>
      </c>
    </row>
    <row r="55" spans="19:19" x14ac:dyDescent="0.2">
      <c r="S55" t="str">
        <f t="shared" ca="1" si="2"/>
        <v/>
      </c>
    </row>
    <row r="56" spans="19:19" x14ac:dyDescent="0.2">
      <c r="S56" t="str">
        <f t="shared" ca="1" si="2"/>
        <v/>
      </c>
    </row>
    <row r="57" spans="19:19" x14ac:dyDescent="0.2">
      <c r="S57" t="str">
        <f t="shared" ca="1" si="2"/>
        <v/>
      </c>
    </row>
    <row r="58" spans="19:19" x14ac:dyDescent="0.2">
      <c r="S58" t="str">
        <f t="shared" ca="1" si="2"/>
        <v/>
      </c>
    </row>
    <row r="59" spans="19:19" x14ac:dyDescent="0.2">
      <c r="S59" t="str">
        <f t="shared" ca="1" si="2"/>
        <v/>
      </c>
    </row>
    <row r="60" spans="19:19" x14ac:dyDescent="0.2">
      <c r="S60" t="str">
        <f t="shared" ca="1" si="2"/>
        <v/>
      </c>
    </row>
    <row r="61" spans="19:19" x14ac:dyDescent="0.2">
      <c r="S61" t="str">
        <f t="shared" ca="1" si="2"/>
        <v/>
      </c>
    </row>
    <row r="62" spans="19:19" x14ac:dyDescent="0.2">
      <c r="S62" t="str">
        <f t="shared" ca="1" si="2"/>
        <v/>
      </c>
    </row>
    <row r="63" spans="19:19" x14ac:dyDescent="0.2">
      <c r="S63" t="str">
        <f t="shared" ca="1" si="2"/>
        <v/>
      </c>
    </row>
    <row r="64" spans="19:19" x14ac:dyDescent="0.2">
      <c r="S64" t="str">
        <f t="shared" ca="1" si="2"/>
        <v/>
      </c>
    </row>
    <row r="65" spans="19:19" x14ac:dyDescent="0.2">
      <c r="S65" t="str">
        <f t="shared" ca="1" si="2"/>
        <v/>
      </c>
    </row>
    <row r="66" spans="19:19" x14ac:dyDescent="0.2">
      <c r="S66" t="str">
        <f t="shared" ca="1" si="2"/>
        <v/>
      </c>
    </row>
    <row r="67" spans="19:19" x14ac:dyDescent="0.2">
      <c r="S67" t="str">
        <f t="shared" ca="1" si="2"/>
        <v/>
      </c>
    </row>
    <row r="68" spans="19:19" x14ac:dyDescent="0.2">
      <c r="S68" t="str">
        <f t="shared" ca="1" si="2"/>
        <v/>
      </c>
    </row>
    <row r="69" spans="19:19" x14ac:dyDescent="0.2">
      <c r="S69" t="str">
        <f t="shared" ca="1" si="2"/>
        <v/>
      </c>
    </row>
    <row r="70" spans="19:19" x14ac:dyDescent="0.2">
      <c r="S70" t="str">
        <f t="shared" ca="1" si="2"/>
        <v/>
      </c>
    </row>
    <row r="71" spans="19:19" x14ac:dyDescent="0.2">
      <c r="S71" t="str">
        <f t="shared" ca="1" si="2"/>
        <v/>
      </c>
    </row>
    <row r="72" spans="19:19" x14ac:dyDescent="0.2">
      <c r="S72" t="str">
        <f t="shared" ca="1" si="2"/>
        <v/>
      </c>
    </row>
    <row r="73" spans="19:19" x14ac:dyDescent="0.2">
      <c r="S73" t="str">
        <f t="shared" ref="S73:S104" ca="1" si="3"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 spans="19:19" x14ac:dyDescent="0.2">
      <c r="S74" t="str">
        <f t="shared" ca="1" si="3"/>
        <v/>
      </c>
    </row>
    <row r="75" spans="19:19" x14ac:dyDescent="0.2">
      <c r="S75" t="str">
        <f t="shared" ca="1" si="3"/>
        <v/>
      </c>
    </row>
    <row r="76" spans="19:19" x14ac:dyDescent="0.2">
      <c r="S76" t="str">
        <f t="shared" ca="1" si="3"/>
        <v/>
      </c>
    </row>
    <row r="77" spans="19:19" x14ac:dyDescent="0.2">
      <c r="S77" t="str">
        <f t="shared" ca="1" si="3"/>
        <v/>
      </c>
    </row>
    <row r="78" spans="19:19" x14ac:dyDescent="0.2">
      <c r="S78" t="str">
        <f t="shared" ca="1" si="3"/>
        <v/>
      </c>
    </row>
    <row r="79" spans="19:19" x14ac:dyDescent="0.2">
      <c r="S79" t="str">
        <f t="shared" ca="1" si="3"/>
        <v/>
      </c>
    </row>
    <row r="80" spans="19:19" x14ac:dyDescent="0.2">
      <c r="S80" t="str">
        <f t="shared" ca="1" si="3"/>
        <v/>
      </c>
    </row>
    <row r="81" spans="19:19" x14ac:dyDescent="0.2">
      <c r="S81" t="str">
        <f t="shared" ca="1" si="3"/>
        <v/>
      </c>
    </row>
    <row r="82" spans="19:19" x14ac:dyDescent="0.2">
      <c r="S82" t="str">
        <f t="shared" ca="1" si="3"/>
        <v/>
      </c>
    </row>
    <row r="83" spans="19:19" x14ac:dyDescent="0.2">
      <c r="S83" t="str">
        <f t="shared" ca="1" si="3"/>
        <v/>
      </c>
    </row>
    <row r="84" spans="19:19" x14ac:dyDescent="0.2">
      <c r="S84" t="str">
        <f t="shared" ca="1" si="3"/>
        <v/>
      </c>
    </row>
    <row r="85" spans="19:19" x14ac:dyDescent="0.2">
      <c r="S85" t="str">
        <f t="shared" ca="1" si="3"/>
        <v/>
      </c>
    </row>
    <row r="86" spans="19:19" x14ac:dyDescent="0.2">
      <c r="S86" t="str">
        <f t="shared" ca="1" si="3"/>
        <v/>
      </c>
    </row>
    <row r="87" spans="19:19" x14ac:dyDescent="0.2">
      <c r="S87" t="str">
        <f t="shared" ca="1" si="3"/>
        <v/>
      </c>
    </row>
    <row r="88" spans="19:19" x14ac:dyDescent="0.2">
      <c r="S88" t="str">
        <f t="shared" ca="1" si="3"/>
        <v/>
      </c>
    </row>
    <row r="89" spans="19:19" x14ac:dyDescent="0.2">
      <c r="S89" t="str">
        <f t="shared" ca="1" si="3"/>
        <v/>
      </c>
    </row>
    <row r="90" spans="19:19" x14ac:dyDescent="0.2">
      <c r="S90" t="str">
        <f t="shared" ca="1" si="3"/>
        <v/>
      </c>
    </row>
    <row r="91" spans="19:19" x14ac:dyDescent="0.2">
      <c r="S91" t="str">
        <f t="shared" ca="1" si="3"/>
        <v/>
      </c>
    </row>
    <row r="92" spans="19:19" x14ac:dyDescent="0.2">
      <c r="S92" t="str">
        <f t="shared" ca="1" si="3"/>
        <v/>
      </c>
    </row>
    <row r="93" spans="19:19" x14ac:dyDescent="0.2">
      <c r="S93" t="str">
        <f t="shared" ca="1" si="3"/>
        <v/>
      </c>
    </row>
    <row r="94" spans="19:19" x14ac:dyDescent="0.2">
      <c r="S94" t="str">
        <f t="shared" ca="1" si="3"/>
        <v/>
      </c>
    </row>
    <row r="95" spans="19:19" x14ac:dyDescent="0.2">
      <c r="S95" t="str">
        <f t="shared" ca="1" si="3"/>
        <v/>
      </c>
    </row>
    <row r="96" spans="19:19" x14ac:dyDescent="0.2">
      <c r="S96" t="str">
        <f t="shared" ca="1" si="3"/>
        <v/>
      </c>
    </row>
    <row r="97" spans="19:19" x14ac:dyDescent="0.2">
      <c r="S97" t="str">
        <f t="shared" ca="1" si="3"/>
        <v/>
      </c>
    </row>
    <row r="98" spans="19:19" x14ac:dyDescent="0.2">
      <c r="S98" t="str">
        <f t="shared" ca="1" si="3"/>
        <v/>
      </c>
    </row>
    <row r="99" spans="19:19" x14ac:dyDescent="0.2">
      <c r="S99" t="str">
        <f t="shared" ca="1" si="3"/>
        <v/>
      </c>
    </row>
    <row r="100" spans="19:19" x14ac:dyDescent="0.2">
      <c r="S100" t="str">
        <f t="shared" ca="1" si="3"/>
        <v/>
      </c>
    </row>
    <row r="101" spans="19:19" x14ac:dyDescent="0.2">
      <c r="S101" t="str">
        <f t="shared" ca="1" si="3"/>
        <v/>
      </c>
    </row>
    <row r="102" spans="19:19" x14ac:dyDescent="0.2">
      <c r="S102" t="str">
        <f t="shared" ca="1" si="3"/>
        <v/>
      </c>
    </row>
    <row r="103" spans="19:19" x14ac:dyDescent="0.2">
      <c r="S103" t="str">
        <f t="shared" ca="1" si="3"/>
        <v/>
      </c>
    </row>
    <row r="104" spans="19:19" x14ac:dyDescent="0.2">
      <c r="S104" t="str">
        <f t="shared" ca="1" si="3"/>
        <v/>
      </c>
    </row>
    <row r="105" spans="19:19" x14ac:dyDescent="0.2">
      <c r="S105" t="str">
        <f t="shared" ref="S105:S136" ca="1" si="4"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 spans="19:19" x14ac:dyDescent="0.2">
      <c r="S106" t="str">
        <f t="shared" ca="1" si="4"/>
        <v/>
      </c>
    </row>
    <row r="107" spans="19:19" x14ac:dyDescent="0.2">
      <c r="S107" t="str">
        <f t="shared" ca="1" si="4"/>
        <v/>
      </c>
    </row>
    <row r="108" spans="19:19" x14ac:dyDescent="0.2">
      <c r="S108" t="str">
        <f t="shared" ca="1" si="4"/>
        <v/>
      </c>
    </row>
    <row r="109" spans="19:19" x14ac:dyDescent="0.2">
      <c r="S109" t="str">
        <f t="shared" ca="1" si="4"/>
        <v/>
      </c>
    </row>
    <row r="110" spans="19:19" x14ac:dyDescent="0.2">
      <c r="S110" t="str">
        <f t="shared" ca="1" si="4"/>
        <v/>
      </c>
    </row>
    <row r="111" spans="19:19" x14ac:dyDescent="0.2">
      <c r="S111" t="str">
        <f t="shared" ca="1" si="4"/>
        <v/>
      </c>
    </row>
    <row r="112" spans="19:19" x14ac:dyDescent="0.2">
      <c r="S112" t="str">
        <f t="shared" ca="1" si="4"/>
        <v/>
      </c>
    </row>
    <row r="113" spans="19:19" x14ac:dyDescent="0.2">
      <c r="S113" t="str">
        <f t="shared" ca="1" si="4"/>
        <v/>
      </c>
    </row>
    <row r="114" spans="19:19" x14ac:dyDescent="0.2">
      <c r="S114" t="str">
        <f t="shared" ca="1" si="4"/>
        <v/>
      </c>
    </row>
    <row r="115" spans="19:19" x14ac:dyDescent="0.2">
      <c r="S115" t="str">
        <f t="shared" ca="1" si="4"/>
        <v/>
      </c>
    </row>
    <row r="116" spans="19:19" x14ac:dyDescent="0.2">
      <c r="S116" t="str">
        <f t="shared" ca="1" si="4"/>
        <v/>
      </c>
    </row>
    <row r="117" spans="19:19" x14ac:dyDescent="0.2">
      <c r="S117" t="str">
        <f t="shared" ca="1" si="4"/>
        <v/>
      </c>
    </row>
    <row r="118" spans="19:19" x14ac:dyDescent="0.2">
      <c r="S118" t="str">
        <f t="shared" ca="1" si="4"/>
        <v/>
      </c>
    </row>
    <row r="119" spans="19:19" x14ac:dyDescent="0.2">
      <c r="S119" t="str">
        <f t="shared" ca="1" si="4"/>
        <v/>
      </c>
    </row>
    <row r="120" spans="19:19" x14ac:dyDescent="0.2">
      <c r="S120" t="str">
        <f t="shared" ca="1" si="4"/>
        <v/>
      </c>
    </row>
    <row r="121" spans="19:19" x14ac:dyDescent="0.2">
      <c r="S121" t="str">
        <f t="shared" ca="1" si="4"/>
        <v/>
      </c>
    </row>
    <row r="122" spans="19:19" x14ac:dyDescent="0.2">
      <c r="S122" t="str">
        <f t="shared" ca="1" si="4"/>
        <v/>
      </c>
    </row>
    <row r="123" spans="19:19" x14ac:dyDescent="0.2">
      <c r="S123" t="str">
        <f t="shared" ca="1" si="4"/>
        <v/>
      </c>
    </row>
    <row r="124" spans="19:19" x14ac:dyDescent="0.2">
      <c r="S124" t="str">
        <f t="shared" ca="1" si="4"/>
        <v/>
      </c>
    </row>
    <row r="125" spans="19:19" x14ac:dyDescent="0.2">
      <c r="S125" t="str">
        <f t="shared" ca="1" si="4"/>
        <v/>
      </c>
    </row>
    <row r="126" spans="19:19" x14ac:dyDescent="0.2">
      <c r="S126" t="str">
        <f t="shared" ca="1" si="4"/>
        <v/>
      </c>
    </row>
    <row r="127" spans="19:19" x14ac:dyDescent="0.2">
      <c r="S127" t="str">
        <f t="shared" ca="1" si="4"/>
        <v/>
      </c>
    </row>
    <row r="128" spans="19:19" x14ac:dyDescent="0.2">
      <c r="S128" t="str">
        <f t="shared" ca="1" si="4"/>
        <v/>
      </c>
    </row>
    <row r="129" spans="19:19" x14ac:dyDescent="0.2">
      <c r="S129" t="str">
        <f t="shared" ca="1" si="4"/>
        <v/>
      </c>
    </row>
    <row r="130" spans="19:19" x14ac:dyDescent="0.2">
      <c r="S130" t="str">
        <f t="shared" ca="1" si="4"/>
        <v/>
      </c>
    </row>
    <row r="131" spans="19:19" x14ac:dyDescent="0.2">
      <c r="S131" t="str">
        <f t="shared" ca="1" si="4"/>
        <v/>
      </c>
    </row>
    <row r="132" spans="19:19" x14ac:dyDescent="0.2">
      <c r="S132" t="str">
        <f t="shared" ca="1" si="4"/>
        <v/>
      </c>
    </row>
    <row r="133" spans="19:19" x14ac:dyDescent="0.2">
      <c r="S133" t="str">
        <f t="shared" ca="1" si="4"/>
        <v/>
      </c>
    </row>
    <row r="134" spans="19:19" x14ac:dyDescent="0.2">
      <c r="S134" t="str">
        <f t="shared" ca="1" si="4"/>
        <v/>
      </c>
    </row>
    <row r="135" spans="19:19" x14ac:dyDescent="0.2">
      <c r="S135" t="str">
        <f t="shared" ca="1" si="4"/>
        <v/>
      </c>
    </row>
    <row r="136" spans="19:19" x14ac:dyDescent="0.2">
      <c r="S136" t="str">
        <f t="shared" ca="1" si="4"/>
        <v/>
      </c>
    </row>
    <row r="137" spans="19:19" x14ac:dyDescent="0.2">
      <c r="S137" t="str">
        <f t="shared" ref="S137:S168" ca="1" si="5"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 spans="19:19" x14ac:dyDescent="0.2">
      <c r="S138" t="str">
        <f t="shared" ca="1" si="5"/>
        <v/>
      </c>
    </row>
    <row r="139" spans="19:19" x14ac:dyDescent="0.2">
      <c r="S139" t="str">
        <f t="shared" ca="1" si="5"/>
        <v/>
      </c>
    </row>
    <row r="140" spans="19:19" x14ac:dyDescent="0.2">
      <c r="S140" t="str">
        <f t="shared" ca="1" si="5"/>
        <v/>
      </c>
    </row>
    <row r="141" spans="19:19" x14ac:dyDescent="0.2">
      <c r="S141" t="str">
        <f t="shared" ca="1" si="5"/>
        <v/>
      </c>
    </row>
    <row r="142" spans="19:19" x14ac:dyDescent="0.2">
      <c r="S142" t="str">
        <f t="shared" ca="1" si="5"/>
        <v/>
      </c>
    </row>
    <row r="143" spans="19:19" x14ac:dyDescent="0.2">
      <c r="S143" t="str">
        <f t="shared" ca="1" si="5"/>
        <v/>
      </c>
    </row>
    <row r="144" spans="19:19" x14ac:dyDescent="0.2">
      <c r="S144" t="str">
        <f t="shared" ca="1" si="5"/>
        <v/>
      </c>
    </row>
    <row r="145" spans="19:19" x14ac:dyDescent="0.2">
      <c r="S145" t="str">
        <f t="shared" ca="1" si="5"/>
        <v/>
      </c>
    </row>
    <row r="146" spans="19:19" x14ac:dyDescent="0.2">
      <c r="S146" t="str">
        <f t="shared" ca="1" si="5"/>
        <v/>
      </c>
    </row>
    <row r="147" spans="19:19" x14ac:dyDescent="0.2">
      <c r="S147" t="str">
        <f t="shared" ca="1" si="5"/>
        <v/>
      </c>
    </row>
    <row r="148" spans="19:19" x14ac:dyDescent="0.2">
      <c r="S148" t="str">
        <f t="shared" ca="1" si="5"/>
        <v/>
      </c>
    </row>
    <row r="149" spans="19:19" x14ac:dyDescent="0.2">
      <c r="S149" t="str">
        <f t="shared" ca="1" si="5"/>
        <v/>
      </c>
    </row>
    <row r="150" spans="19:19" x14ac:dyDescent="0.2">
      <c r="S150" t="str">
        <f t="shared" ca="1" si="5"/>
        <v/>
      </c>
    </row>
    <row r="151" spans="19:19" x14ac:dyDescent="0.2">
      <c r="S151" t="str">
        <f t="shared" ca="1" si="5"/>
        <v/>
      </c>
    </row>
    <row r="152" spans="19:19" x14ac:dyDescent="0.2">
      <c r="S152" t="str">
        <f t="shared" ca="1" si="5"/>
        <v/>
      </c>
    </row>
    <row r="153" spans="19:19" x14ac:dyDescent="0.2">
      <c r="S153" t="str">
        <f t="shared" ca="1" si="5"/>
        <v/>
      </c>
    </row>
    <row r="154" spans="19:19" x14ac:dyDescent="0.2">
      <c r="S154" t="str">
        <f t="shared" ca="1" si="5"/>
        <v/>
      </c>
    </row>
    <row r="155" spans="19:19" x14ac:dyDescent="0.2">
      <c r="S155" t="str">
        <f t="shared" ca="1" si="5"/>
        <v/>
      </c>
    </row>
    <row r="156" spans="19:19" x14ac:dyDescent="0.2">
      <c r="S156" t="str">
        <f t="shared" ca="1" si="5"/>
        <v/>
      </c>
    </row>
    <row r="157" spans="19:19" x14ac:dyDescent="0.2">
      <c r="S157" t="str">
        <f t="shared" ca="1" si="5"/>
        <v/>
      </c>
    </row>
    <row r="158" spans="19:19" x14ac:dyDescent="0.2">
      <c r="S158" t="str">
        <f t="shared" ca="1" si="5"/>
        <v/>
      </c>
    </row>
    <row r="159" spans="19:19" x14ac:dyDescent="0.2">
      <c r="S159" t="str">
        <f t="shared" ca="1" si="5"/>
        <v/>
      </c>
    </row>
    <row r="160" spans="19:19" x14ac:dyDescent="0.2">
      <c r="S160" t="str">
        <f t="shared" ca="1" si="5"/>
        <v/>
      </c>
    </row>
    <row r="161" spans="19:19" x14ac:dyDescent="0.2">
      <c r="S161" t="str">
        <f t="shared" ca="1" si="5"/>
        <v/>
      </c>
    </row>
    <row r="162" spans="19:19" x14ac:dyDescent="0.2">
      <c r="S162" t="str">
        <f t="shared" ca="1" si="5"/>
        <v/>
      </c>
    </row>
    <row r="163" spans="19:19" x14ac:dyDescent="0.2">
      <c r="S163" t="str">
        <f t="shared" ca="1" si="5"/>
        <v/>
      </c>
    </row>
    <row r="164" spans="19:19" x14ac:dyDescent="0.2">
      <c r="S164" t="str">
        <f t="shared" ca="1" si="5"/>
        <v/>
      </c>
    </row>
    <row r="165" spans="19:19" x14ac:dyDescent="0.2">
      <c r="S165" t="str">
        <f t="shared" ca="1" si="5"/>
        <v/>
      </c>
    </row>
    <row r="166" spans="19:19" x14ac:dyDescent="0.2">
      <c r="S166" t="str">
        <f t="shared" ca="1" si="5"/>
        <v/>
      </c>
    </row>
    <row r="167" spans="19:19" x14ac:dyDescent="0.2">
      <c r="S167" t="str">
        <f t="shared" ca="1" si="5"/>
        <v/>
      </c>
    </row>
    <row r="168" spans="19:19" x14ac:dyDescent="0.2">
      <c r="S168" t="str">
        <f t="shared" ca="1" si="5"/>
        <v/>
      </c>
    </row>
    <row r="169" spans="19:19" x14ac:dyDescent="0.2">
      <c r="S169" t="str">
        <f t="shared" ref="S169:S200" ca="1" si="6"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 spans="19:19" x14ac:dyDescent="0.2">
      <c r="S170" t="str">
        <f t="shared" ca="1" si="6"/>
        <v/>
      </c>
    </row>
    <row r="171" spans="19:19" x14ac:dyDescent="0.2">
      <c r="S171" t="str">
        <f t="shared" ca="1" si="6"/>
        <v/>
      </c>
    </row>
    <row r="172" spans="19:19" x14ac:dyDescent="0.2">
      <c r="S172" t="str">
        <f t="shared" ca="1" si="6"/>
        <v/>
      </c>
    </row>
    <row r="173" spans="19:19" x14ac:dyDescent="0.2">
      <c r="S173" t="str">
        <f t="shared" ca="1" si="6"/>
        <v/>
      </c>
    </row>
    <row r="174" spans="19:19" x14ac:dyDescent="0.2">
      <c r="S174" t="str">
        <f t="shared" ca="1" si="6"/>
        <v/>
      </c>
    </row>
    <row r="175" spans="19:19" x14ac:dyDescent="0.2">
      <c r="S175" t="str">
        <f t="shared" ca="1" si="6"/>
        <v/>
      </c>
    </row>
    <row r="176" spans="19:19" x14ac:dyDescent="0.2">
      <c r="S176" t="str">
        <f t="shared" ca="1" si="6"/>
        <v/>
      </c>
    </row>
    <row r="177" spans="19:19" x14ac:dyDescent="0.2">
      <c r="S177" t="str">
        <f t="shared" ca="1" si="6"/>
        <v/>
      </c>
    </row>
    <row r="178" spans="19:19" x14ac:dyDescent="0.2">
      <c r="S178" t="str">
        <f t="shared" ca="1" si="6"/>
        <v/>
      </c>
    </row>
    <row r="179" spans="19:19" x14ac:dyDescent="0.2">
      <c r="S179" t="str">
        <f t="shared" ca="1" si="6"/>
        <v/>
      </c>
    </row>
    <row r="180" spans="19:19" x14ac:dyDescent="0.2">
      <c r="S180" t="str">
        <f t="shared" ca="1" si="6"/>
        <v/>
      </c>
    </row>
    <row r="181" spans="19:19" x14ac:dyDescent="0.2">
      <c r="S181" t="str">
        <f t="shared" ca="1" si="6"/>
        <v/>
      </c>
    </row>
    <row r="182" spans="19:19" x14ac:dyDescent="0.2">
      <c r="S182" t="str">
        <f t="shared" ca="1" si="6"/>
        <v/>
      </c>
    </row>
    <row r="183" spans="19:19" x14ac:dyDescent="0.2">
      <c r="S183" t="str">
        <f t="shared" ca="1" si="6"/>
        <v/>
      </c>
    </row>
    <row r="184" spans="19:19" x14ac:dyDescent="0.2">
      <c r="S184" t="str">
        <f t="shared" ca="1" si="6"/>
        <v/>
      </c>
    </row>
    <row r="185" spans="19:19" x14ac:dyDescent="0.2">
      <c r="S185" t="str">
        <f t="shared" ca="1" si="6"/>
        <v/>
      </c>
    </row>
    <row r="186" spans="19:19" x14ac:dyDescent="0.2">
      <c r="S186" t="str">
        <f t="shared" ca="1" si="6"/>
        <v/>
      </c>
    </row>
    <row r="187" spans="19:19" x14ac:dyDescent="0.2">
      <c r="S187" t="str">
        <f t="shared" ca="1" si="6"/>
        <v/>
      </c>
    </row>
    <row r="188" spans="19:19" x14ac:dyDescent="0.2">
      <c r="S188" t="str">
        <f t="shared" ca="1" si="6"/>
        <v/>
      </c>
    </row>
    <row r="189" spans="19:19" x14ac:dyDescent="0.2">
      <c r="S189" t="str">
        <f t="shared" ca="1" si="6"/>
        <v/>
      </c>
    </row>
    <row r="190" spans="19:19" x14ac:dyDescent="0.2">
      <c r="S190" t="str">
        <f t="shared" ca="1" si="6"/>
        <v/>
      </c>
    </row>
    <row r="191" spans="19:19" x14ac:dyDescent="0.2">
      <c r="S191" t="str">
        <f t="shared" ca="1" si="6"/>
        <v/>
      </c>
    </row>
    <row r="192" spans="19:19" x14ac:dyDescent="0.2">
      <c r="S192" t="str">
        <f t="shared" ca="1" si="6"/>
        <v/>
      </c>
    </row>
    <row r="193" spans="19:19" x14ac:dyDescent="0.2">
      <c r="S193" t="str">
        <f t="shared" ca="1" si="6"/>
        <v/>
      </c>
    </row>
    <row r="194" spans="19:19" x14ac:dyDescent="0.2">
      <c r="S194" t="str">
        <f t="shared" ca="1" si="6"/>
        <v/>
      </c>
    </row>
    <row r="195" spans="19:19" x14ac:dyDescent="0.2">
      <c r="S195" t="str">
        <f t="shared" ca="1" si="6"/>
        <v/>
      </c>
    </row>
    <row r="196" spans="19:19" x14ac:dyDescent="0.2">
      <c r="S196" t="str">
        <f t="shared" ca="1" si="6"/>
        <v/>
      </c>
    </row>
    <row r="197" spans="19:19" x14ac:dyDescent="0.2">
      <c r="S197" t="str">
        <f t="shared" ca="1" si="6"/>
        <v/>
      </c>
    </row>
    <row r="198" spans="19:19" x14ac:dyDescent="0.2">
      <c r="S198" t="str">
        <f t="shared" ca="1" si="6"/>
        <v/>
      </c>
    </row>
    <row r="199" spans="19:19" x14ac:dyDescent="0.2">
      <c r="S199" t="str">
        <f t="shared" ca="1" si="6"/>
        <v/>
      </c>
    </row>
    <row r="200" spans="19:19" x14ac:dyDescent="0.2">
      <c r="S200" t="str">
        <f t="shared" ca="1" si="6"/>
        <v/>
      </c>
    </row>
    <row r="201" spans="19:19" x14ac:dyDescent="0.2">
      <c r="S201" t="str">
        <f t="shared" ref="S201:S209" ca="1" si="7"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 spans="19:19" x14ac:dyDescent="0.2">
      <c r="S202" t="str">
        <f t="shared" ca="1" si="7"/>
        <v/>
      </c>
    </row>
    <row r="203" spans="19:19" x14ac:dyDescent="0.2">
      <c r="S203" t="str">
        <f t="shared" ca="1" si="7"/>
        <v/>
      </c>
    </row>
    <row r="204" spans="19:19" x14ac:dyDescent="0.2">
      <c r="S204" t="str">
        <f t="shared" ca="1" si="7"/>
        <v/>
      </c>
    </row>
    <row r="205" spans="19:19" x14ac:dyDescent="0.2">
      <c r="S205" t="str">
        <f t="shared" ca="1" si="7"/>
        <v/>
      </c>
    </row>
    <row r="206" spans="19:19" x14ac:dyDescent="0.2">
      <c r="S206" t="str">
        <f t="shared" ca="1" si="7"/>
        <v/>
      </c>
    </row>
    <row r="207" spans="19:19" x14ac:dyDescent="0.2">
      <c r="S207" t="str">
        <f t="shared" ca="1" si="7"/>
        <v/>
      </c>
    </row>
    <row r="208" spans="19:19" x14ac:dyDescent="0.2">
      <c r="S208" t="str">
        <f t="shared" ca="1" si="7"/>
        <v/>
      </c>
    </row>
    <row r="209" spans="19:19" x14ac:dyDescent="0.2">
      <c r="S209" t="str">
        <f t="shared" ca="1" si="7"/>
        <v/>
      </c>
    </row>
  </sheetData>
  <conditionalFormatting sqref="S10:S209">
    <cfRule type="cellIs" dxfId="3" priority="1" operator="equal">
      <formula>"✗"</formula>
    </cfRule>
    <cfRule type="cellIs" dxfId="2" priority="2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</dataValidation>
    <dataValidation type="list" sqref="B5" xr:uid="{00000000-0002-0000-0500-000001000000}">
      <formula1>"1,1000,1000000"</formula1>
    </dataValidation>
    <dataValidation type="list" allowBlank="1" sqref="A10:A209" xr:uid="{00000000-0002-0000-0500-000002000000}">
      <formula1>"section,item,subtotal,total"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43</v>
      </c>
      <c r="B1" s="4" t="s">
        <v>175</v>
      </c>
    </row>
    <row r="2" spans="1:20" x14ac:dyDescent="0.2">
      <c r="A2" s="3" t="s">
        <v>45</v>
      </c>
      <c r="B2" s="4" t="s">
        <v>176</v>
      </c>
    </row>
    <row r="3" spans="1:20" x14ac:dyDescent="0.2">
      <c r="A3" s="3" t="s">
        <v>47</v>
      </c>
      <c r="B3" s="4" t="s">
        <v>93</v>
      </c>
      <c r="C3" t="s">
        <v>49</v>
      </c>
    </row>
    <row r="4" spans="1:20" x14ac:dyDescent="0.2">
      <c r="A4" s="3" t="s">
        <v>50</v>
      </c>
      <c r="B4" s="4" t="s">
        <v>51</v>
      </c>
    </row>
    <row r="5" spans="1:20" x14ac:dyDescent="0.2">
      <c r="A5" s="3" t="s">
        <v>52</v>
      </c>
      <c r="B5" s="4">
        <v>1</v>
      </c>
      <c r="C5" t="s">
        <v>53</v>
      </c>
    </row>
    <row r="7" spans="1:20" ht="16" x14ac:dyDescent="0.2">
      <c r="A7" s="5" t="s">
        <v>54</v>
      </c>
      <c r="B7" s="5" t="s">
        <v>55</v>
      </c>
      <c r="C7" s="5" t="s">
        <v>56</v>
      </c>
      <c r="D7" s="5" t="s">
        <v>57</v>
      </c>
      <c r="E7" s="5" t="s">
        <v>58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2</v>
      </c>
      <c r="Q7" s="5" t="s">
        <v>2</v>
      </c>
      <c r="R7" s="5" t="s">
        <v>59</v>
      </c>
      <c r="S7" s="5" t="s">
        <v>60</v>
      </c>
      <c r="T7" s="5" t="s">
        <v>42</v>
      </c>
    </row>
    <row r="8" spans="1:20" x14ac:dyDescent="0.2">
      <c r="C8" t="s">
        <v>61</v>
      </c>
      <c r="D8" s="4" t="s">
        <v>28</v>
      </c>
      <c r="E8" s="4" t="s">
        <v>62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</row>
    <row r="9" spans="1:20" x14ac:dyDescent="0.2">
      <c r="C9" t="s">
        <v>63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</row>
    <row r="10" spans="1:20" x14ac:dyDescent="0.2">
      <c r="A10" t="s">
        <v>67</v>
      </c>
      <c r="B10" t="s">
        <v>177</v>
      </c>
      <c r="C10" t="s">
        <v>72</v>
      </c>
      <c r="D10" t="s">
        <v>135</v>
      </c>
      <c r="E10">
        <v>33002625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67</v>
      </c>
      <c r="B11" t="s">
        <v>178</v>
      </c>
      <c r="C11" t="s">
        <v>108</v>
      </c>
      <c r="D11" t="s">
        <v>135</v>
      </c>
      <c r="E11">
        <v>325000000</v>
      </c>
      <c r="S11" t="str">
        <f t="shared" ca="1" si="0"/>
        <v/>
      </c>
    </row>
    <row r="12" spans="1:20" x14ac:dyDescent="0.2">
      <c r="S12" t="str">
        <f t="shared" ca="1" si="0"/>
        <v/>
      </c>
    </row>
    <row r="13" spans="1:20" x14ac:dyDescent="0.2">
      <c r="S13" t="str">
        <f t="shared" ca="1" si="0"/>
        <v/>
      </c>
    </row>
    <row r="14" spans="1:20" x14ac:dyDescent="0.2">
      <c r="S14" t="str">
        <f t="shared" ca="1" si="0"/>
        <v/>
      </c>
    </row>
    <row r="15" spans="1:20" x14ac:dyDescent="0.2">
      <c r="S15" t="str">
        <f t="shared" ca="1" si="0"/>
        <v/>
      </c>
    </row>
    <row r="16" spans="1:20" x14ac:dyDescent="0.2">
      <c r="S16" t="str">
        <f t="shared" ca="1" si="0"/>
        <v/>
      </c>
    </row>
    <row r="17" spans="19:19" x14ac:dyDescent="0.2">
      <c r="S17" t="str">
        <f t="shared" ca="1" si="0"/>
        <v/>
      </c>
    </row>
    <row r="18" spans="19:19" x14ac:dyDescent="0.2">
      <c r="S18" t="str">
        <f t="shared" ca="1" si="0"/>
        <v/>
      </c>
    </row>
    <row r="19" spans="19:19" x14ac:dyDescent="0.2">
      <c r="S19" t="str">
        <f t="shared" ca="1" si="0"/>
        <v/>
      </c>
    </row>
    <row r="20" spans="19:19" x14ac:dyDescent="0.2">
      <c r="S20" t="str">
        <f t="shared" ca="1" si="0"/>
        <v/>
      </c>
    </row>
    <row r="21" spans="19:19" x14ac:dyDescent="0.2">
      <c r="S21" t="str">
        <f t="shared" ca="1" si="0"/>
        <v/>
      </c>
    </row>
    <row r="22" spans="19:19" x14ac:dyDescent="0.2">
      <c r="S22" t="str">
        <f t="shared" ca="1" si="0"/>
        <v/>
      </c>
    </row>
    <row r="23" spans="19:19" x14ac:dyDescent="0.2">
      <c r="S23" t="str">
        <f t="shared" ca="1" si="0"/>
        <v/>
      </c>
    </row>
    <row r="24" spans="19:19" x14ac:dyDescent="0.2">
      <c r="S24" t="str">
        <f t="shared" ca="1" si="0"/>
        <v/>
      </c>
    </row>
    <row r="25" spans="19:19" x14ac:dyDescent="0.2">
      <c r="S25" t="str">
        <f t="shared" ca="1" si="0"/>
        <v/>
      </c>
    </row>
    <row r="26" spans="19:19" x14ac:dyDescent="0.2">
      <c r="S26" t="str">
        <f t="shared" ca="1" si="0"/>
        <v/>
      </c>
    </row>
    <row r="27" spans="19:19" x14ac:dyDescent="0.2">
      <c r="S27" t="str">
        <f t="shared" ca="1" si="0"/>
        <v/>
      </c>
    </row>
    <row r="28" spans="19:19" x14ac:dyDescent="0.2">
      <c r="S28" t="str">
        <f t="shared" ca="1" si="0"/>
        <v/>
      </c>
    </row>
    <row r="29" spans="19:19" x14ac:dyDescent="0.2">
      <c r="S29" t="str">
        <f t="shared" ca="1" si="0"/>
        <v/>
      </c>
    </row>
    <row r="30" spans="19:19" x14ac:dyDescent="0.2">
      <c r="S30" t="str">
        <f t="shared" ca="1" si="0"/>
        <v/>
      </c>
    </row>
    <row r="31" spans="19:19" x14ac:dyDescent="0.2">
      <c r="S31" t="str">
        <f t="shared" ca="1" si="0"/>
        <v/>
      </c>
    </row>
    <row r="32" spans="19:19" x14ac:dyDescent="0.2">
      <c r="S32" t="str">
        <f t="shared" ca="1" si="0"/>
        <v/>
      </c>
    </row>
    <row r="33" spans="19:19" x14ac:dyDescent="0.2">
      <c r="S33" t="str">
        <f t="shared" ca="1" si="0"/>
        <v/>
      </c>
    </row>
    <row r="34" spans="19:19" x14ac:dyDescent="0.2">
      <c r="S34" t="str">
        <f t="shared" ca="1" si="0"/>
        <v/>
      </c>
    </row>
    <row r="35" spans="19:19" x14ac:dyDescent="0.2">
      <c r="S35" t="str">
        <f t="shared" ca="1" si="0"/>
        <v/>
      </c>
    </row>
    <row r="36" spans="19:19" x14ac:dyDescent="0.2">
      <c r="S36" t="str">
        <f t="shared" ca="1" si="0"/>
        <v/>
      </c>
    </row>
    <row r="37" spans="19:19" x14ac:dyDescent="0.2">
      <c r="S37" t="str">
        <f t="shared" ca="1" si="0"/>
        <v/>
      </c>
    </row>
    <row r="38" spans="19:19" x14ac:dyDescent="0.2">
      <c r="S38" t="str">
        <f t="shared" ca="1" si="0"/>
        <v/>
      </c>
    </row>
    <row r="39" spans="19:19" x14ac:dyDescent="0.2">
      <c r="S39" t="str">
        <f t="shared" ca="1" si="0"/>
        <v/>
      </c>
    </row>
    <row r="40" spans="19:19" x14ac:dyDescent="0.2">
      <c r="S40" t="str">
        <f t="shared" ca="1" si="0"/>
        <v/>
      </c>
    </row>
    <row r="41" spans="19:19" x14ac:dyDescent="0.2">
      <c r="S41" t="str">
        <f t="shared" ca="1" si="0"/>
        <v/>
      </c>
    </row>
    <row r="42" spans="19:19" x14ac:dyDescent="0.2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 spans="19:19" x14ac:dyDescent="0.2">
      <c r="S43" t="str">
        <f t="shared" ca="1" si="1"/>
        <v/>
      </c>
    </row>
    <row r="44" spans="19:19" x14ac:dyDescent="0.2">
      <c r="S44" t="str">
        <f t="shared" ca="1" si="1"/>
        <v/>
      </c>
    </row>
    <row r="45" spans="19:19" x14ac:dyDescent="0.2">
      <c r="S45" t="str">
        <f t="shared" ca="1" si="1"/>
        <v/>
      </c>
    </row>
    <row r="46" spans="19:19" x14ac:dyDescent="0.2">
      <c r="S46" t="str">
        <f t="shared" ca="1" si="1"/>
        <v/>
      </c>
    </row>
    <row r="47" spans="19:19" x14ac:dyDescent="0.2">
      <c r="S47" t="str">
        <f t="shared" ca="1" si="1"/>
        <v/>
      </c>
    </row>
    <row r="48" spans="19:19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ca="1" si="1"/>
        <v/>
      </c>
    </row>
    <row r="59" spans="19:19" x14ac:dyDescent="0.2">
      <c r="S59" t="str">
        <f t="shared" ca="1" si="1"/>
        <v/>
      </c>
    </row>
    <row r="60" spans="19:19" x14ac:dyDescent="0.2">
      <c r="S60" t="str">
        <f t="shared" ca="1" si="1"/>
        <v/>
      </c>
    </row>
    <row r="61" spans="19:19" x14ac:dyDescent="0.2">
      <c r="S61" t="str">
        <f t="shared" ca="1" si="1"/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1" priority="1" operator="equal">
      <formula>"✗"</formula>
    </cfRule>
    <cfRule type="cellIs" dxfId="0" priority="2" operator="equal">
      <formula>"✓"</formula>
    </cfRule>
  </conditionalFormatting>
  <dataValidations count="3">
    <dataValidation type="list" sqref="B1" xr:uid="{00000000-0002-0000-0600-000000000000}">
      <formula1>"financial_position,income,comprehensive_income,income_and_comprehensive_income,changes_in_equity,changes_in_net_assets,cash_flows,other"</formula1>
    </dataValidation>
    <dataValidation type="list" sqref="B5" xr:uid="{00000000-0002-0000-0600-000001000000}">
      <formula1>"1,1000,1000000"</formula1>
    </dataValidation>
    <dataValidation type="list" allowBlank="1" sqref="A10:A209" xr:uid="{00000000-0002-0000-0600-000002000000}">
      <formula1>"section,item,subtotal,total"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filing</vt:lpstr>
      <vt:lpstr>1_financial_position</vt:lpstr>
      <vt:lpstr>2_income_and_comprehensive_inco</vt:lpstr>
      <vt:lpstr>3_changes_in_net_assets</vt:lpstr>
      <vt:lpstr>4_cash_flows</vt:lpstr>
      <vt:lpstr>5_other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Bushra Asseri</cp:lastModifiedBy>
  <dcterms:modified xsi:type="dcterms:W3CDTF">2026-10-02T17:09:26Z</dcterms:modified>
</cp:coreProperties>
</file>