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Users/bushra/Downloads/AI_audit/"/>
    </mc:Choice>
  </mc:AlternateContent>
  <xr:revisionPtr revIDLastSave="0" documentId="13_ncr:1_{F283BBB6-42D4-5448-AC71-81719B340234}" xr6:coauthVersionLast="47" xr6:coauthVersionMax="47" xr10:uidLastSave="{00000000-0000-0000-0000-000000000000}"/>
  <bookViews>
    <workbookView xWindow="0" yWindow="660" windowWidth="30240" windowHeight="17360" tabRatio="500" activeTab="1" xr2:uid="{00000000-000D-0000-FFFF-FFFF00000000}"/>
  </bookViews>
  <sheets>
    <sheet name="README" sheetId="1" r:id="rId1"/>
    <sheet name="filing" sheetId="2" r:id="rId2"/>
    <sheet name="1_comprehensive_income" sheetId="3" r:id="rId3"/>
    <sheet name="2_financial_position" sheetId="4" r:id="rId4"/>
    <sheet name="3_changes_in_equity" sheetId="5" r:id="rId5"/>
    <sheet name="4_cash_flows" sheetId="6" r:id="rId6"/>
    <sheet name="5_other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S209" i="7" l="1"/>
  <c r="S208" i="7"/>
  <c r="S207" i="7"/>
  <c r="S206" i="7"/>
  <c r="S205" i="7"/>
  <c r="S204" i="7"/>
  <c r="S203" i="7"/>
  <c r="S202" i="7"/>
  <c r="S201" i="7"/>
  <c r="S200" i="7"/>
  <c r="S199" i="7"/>
  <c r="S198" i="7"/>
  <c r="S197" i="7"/>
  <c r="S196" i="7"/>
  <c r="S195" i="7"/>
  <c r="S194" i="7"/>
  <c r="S193" i="7"/>
  <c r="S192" i="7"/>
  <c r="S191" i="7"/>
  <c r="S190" i="7"/>
  <c r="S189" i="7"/>
  <c r="S188" i="7"/>
  <c r="S187" i="7"/>
  <c r="S186" i="7"/>
  <c r="S185" i="7"/>
  <c r="S184" i="7"/>
  <c r="S183" i="7"/>
  <c r="S182" i="7"/>
  <c r="S181" i="7"/>
  <c r="S180" i="7"/>
  <c r="S179" i="7"/>
  <c r="S178" i="7"/>
  <c r="S177" i="7"/>
  <c r="S176" i="7"/>
  <c r="S175" i="7"/>
  <c r="S174" i="7"/>
  <c r="S173" i="7"/>
  <c r="S172" i="7"/>
  <c r="S171" i="7"/>
  <c r="S170" i="7"/>
  <c r="S169" i="7"/>
  <c r="S168" i="7"/>
  <c r="S167" i="7"/>
  <c r="S166" i="7"/>
  <c r="S165" i="7"/>
  <c r="S164" i="7"/>
  <c r="S163" i="7"/>
  <c r="S162" i="7"/>
  <c r="S161" i="7"/>
  <c r="S160" i="7"/>
  <c r="S159" i="7"/>
  <c r="S158" i="7"/>
  <c r="S157" i="7"/>
  <c r="S156" i="7"/>
  <c r="S155" i="7"/>
  <c r="S154" i="7"/>
  <c r="S153" i="7"/>
  <c r="S152" i="7"/>
  <c r="S151" i="7"/>
  <c r="S150" i="7"/>
  <c r="S149" i="7"/>
  <c r="S148" i="7"/>
  <c r="S147" i="7"/>
  <c r="S146" i="7"/>
  <c r="S145" i="7"/>
  <c r="S144" i="7"/>
  <c r="S143" i="7"/>
  <c r="S142" i="7"/>
  <c r="S141" i="7"/>
  <c r="S140" i="7"/>
  <c r="S139" i="7"/>
  <c r="S138" i="7"/>
  <c r="S137" i="7"/>
  <c r="S136" i="7"/>
  <c r="S135" i="7"/>
  <c r="S134" i="7"/>
  <c r="S133" i="7"/>
  <c r="S132" i="7"/>
  <c r="S131" i="7"/>
  <c r="S130" i="7"/>
  <c r="S129" i="7"/>
  <c r="S128" i="7"/>
  <c r="S127" i="7"/>
  <c r="S126" i="7"/>
  <c r="S125" i="7"/>
  <c r="S124" i="7"/>
  <c r="S123" i="7"/>
  <c r="S122" i="7"/>
  <c r="S121" i="7"/>
  <c r="S120" i="7"/>
  <c r="S119" i="7"/>
  <c r="S118" i="7"/>
  <c r="S117" i="7"/>
  <c r="S116" i="7"/>
  <c r="S115" i="7"/>
  <c r="S114" i="7"/>
  <c r="S113" i="7"/>
  <c r="S112" i="7"/>
  <c r="S111" i="7"/>
  <c r="S110" i="7"/>
  <c r="S109" i="7"/>
  <c r="S108" i="7"/>
  <c r="S107" i="7"/>
  <c r="S106" i="7"/>
  <c r="S105" i="7"/>
  <c r="S104" i="7"/>
  <c r="S103" i="7"/>
  <c r="S102" i="7"/>
  <c r="S101" i="7"/>
  <c r="S100" i="7"/>
  <c r="S99" i="7"/>
  <c r="S98" i="7"/>
  <c r="S97" i="7"/>
  <c r="S96" i="7"/>
  <c r="S95" i="7"/>
  <c r="S94" i="7"/>
  <c r="S93" i="7"/>
  <c r="S92" i="7"/>
  <c r="S91" i="7"/>
  <c r="S90" i="7"/>
  <c r="S89" i="7"/>
  <c r="S88" i="7"/>
  <c r="S87" i="7"/>
  <c r="S86" i="7"/>
  <c r="S85" i="7"/>
  <c r="S84" i="7"/>
  <c r="S83" i="7"/>
  <c r="S82" i="7"/>
  <c r="S81" i="7"/>
  <c r="S80" i="7"/>
  <c r="S79" i="7"/>
  <c r="S78" i="7"/>
  <c r="S77" i="7"/>
  <c r="S76" i="7"/>
  <c r="S75" i="7"/>
  <c r="S74" i="7"/>
  <c r="S73" i="7"/>
  <c r="S72" i="7"/>
  <c r="S71" i="7"/>
  <c r="S70" i="7"/>
  <c r="S69" i="7"/>
  <c r="S68" i="7"/>
  <c r="S67" i="7"/>
  <c r="S66" i="7"/>
  <c r="S65" i="7"/>
  <c r="S64" i="7"/>
  <c r="S63" i="7"/>
  <c r="S62" i="7"/>
  <c r="S61" i="7"/>
  <c r="S60" i="7"/>
  <c r="S59" i="7"/>
  <c r="S58" i="7"/>
  <c r="S57" i="7"/>
  <c r="S56" i="7"/>
  <c r="S55" i="7"/>
  <c r="S54" i="7"/>
  <c r="S53" i="7"/>
  <c r="S52" i="7"/>
  <c r="S51" i="7"/>
  <c r="S50" i="7"/>
  <c r="S49" i="7"/>
  <c r="S48" i="7"/>
  <c r="S47" i="7"/>
  <c r="S46" i="7"/>
  <c r="S45" i="7"/>
  <c r="S44" i="7"/>
  <c r="S43" i="7"/>
  <c r="S42" i="7"/>
  <c r="S41" i="7"/>
  <c r="S40" i="7"/>
  <c r="S39" i="7"/>
  <c r="S38" i="7"/>
  <c r="S37" i="7"/>
  <c r="S36" i="7"/>
  <c r="S35" i="7"/>
  <c r="S34" i="7"/>
  <c r="S33" i="7"/>
  <c r="S32" i="7"/>
  <c r="S31" i="7"/>
  <c r="S30" i="7"/>
  <c r="S29" i="7"/>
  <c r="S28" i="7"/>
  <c r="S27" i="7"/>
  <c r="S26" i="7"/>
  <c r="S25" i="7"/>
  <c r="S24" i="7"/>
  <c r="S23" i="7"/>
  <c r="S22" i="7"/>
  <c r="S21" i="7"/>
  <c r="S20" i="7"/>
  <c r="S19" i="7"/>
  <c r="S18" i="7"/>
  <c r="S17" i="7"/>
  <c r="S16" i="7"/>
  <c r="S15" i="7"/>
  <c r="S14" i="7"/>
  <c r="S13" i="7"/>
  <c r="S12" i="7"/>
  <c r="S11" i="7"/>
  <c r="S10" i="7"/>
  <c r="S209" i="6"/>
  <c r="S208" i="6"/>
  <c r="S207" i="6"/>
  <c r="S206" i="6"/>
  <c r="S205" i="6"/>
  <c r="S204" i="6"/>
  <c r="S203" i="6"/>
  <c r="S202" i="6"/>
  <c r="S201" i="6"/>
  <c r="S200" i="6"/>
  <c r="S199" i="6"/>
  <c r="S198" i="6"/>
  <c r="S197" i="6"/>
  <c r="S196" i="6"/>
  <c r="S195" i="6"/>
  <c r="S194" i="6"/>
  <c r="S193" i="6"/>
  <c r="S192" i="6"/>
  <c r="S191" i="6"/>
  <c r="S190" i="6"/>
  <c r="S189" i="6"/>
  <c r="S188" i="6"/>
  <c r="S187" i="6"/>
  <c r="S186" i="6"/>
  <c r="S185" i="6"/>
  <c r="S184" i="6"/>
  <c r="S183" i="6"/>
  <c r="S182" i="6"/>
  <c r="S181" i="6"/>
  <c r="S180" i="6"/>
  <c r="S179" i="6"/>
  <c r="S178" i="6"/>
  <c r="S177" i="6"/>
  <c r="S176" i="6"/>
  <c r="S175" i="6"/>
  <c r="S174" i="6"/>
  <c r="S173" i="6"/>
  <c r="S172" i="6"/>
  <c r="S171" i="6"/>
  <c r="S170" i="6"/>
  <c r="S169" i="6"/>
  <c r="S168" i="6"/>
  <c r="S167" i="6"/>
  <c r="S166" i="6"/>
  <c r="S165" i="6"/>
  <c r="S164" i="6"/>
  <c r="S163" i="6"/>
  <c r="S162" i="6"/>
  <c r="S161" i="6"/>
  <c r="S160" i="6"/>
  <c r="S159" i="6"/>
  <c r="S158" i="6"/>
  <c r="S157" i="6"/>
  <c r="S156" i="6"/>
  <c r="S155" i="6"/>
  <c r="S154" i="6"/>
  <c r="S153" i="6"/>
  <c r="S152" i="6"/>
  <c r="S151" i="6"/>
  <c r="S150" i="6"/>
  <c r="S149" i="6"/>
  <c r="S148" i="6"/>
  <c r="S147" i="6"/>
  <c r="S146" i="6"/>
  <c r="S145" i="6"/>
  <c r="S144" i="6"/>
  <c r="S143" i="6"/>
  <c r="S142" i="6"/>
  <c r="S141" i="6"/>
  <c r="S140" i="6"/>
  <c r="S139" i="6"/>
  <c r="S138" i="6"/>
  <c r="S137" i="6"/>
  <c r="S136" i="6"/>
  <c r="S135" i="6"/>
  <c r="S134" i="6"/>
  <c r="S133" i="6"/>
  <c r="S132" i="6"/>
  <c r="S131" i="6"/>
  <c r="S130" i="6"/>
  <c r="S129" i="6"/>
  <c r="S128" i="6"/>
  <c r="S127" i="6"/>
  <c r="S126" i="6"/>
  <c r="S125" i="6"/>
  <c r="S124" i="6"/>
  <c r="S123" i="6"/>
  <c r="S122" i="6"/>
  <c r="S121" i="6"/>
  <c r="S120" i="6"/>
  <c r="S119" i="6"/>
  <c r="S118" i="6"/>
  <c r="S117" i="6"/>
  <c r="S116" i="6"/>
  <c r="S115" i="6"/>
  <c r="S114" i="6"/>
  <c r="S113" i="6"/>
  <c r="S112" i="6"/>
  <c r="S111" i="6"/>
  <c r="S110" i="6"/>
  <c r="S109" i="6"/>
  <c r="S108" i="6"/>
  <c r="S107" i="6"/>
  <c r="S106" i="6"/>
  <c r="S105" i="6"/>
  <c r="S104" i="6"/>
  <c r="S103" i="6"/>
  <c r="S102" i="6"/>
  <c r="S101" i="6"/>
  <c r="S100" i="6"/>
  <c r="S99" i="6"/>
  <c r="S98" i="6"/>
  <c r="S97" i="6"/>
  <c r="S96" i="6"/>
  <c r="S95" i="6"/>
  <c r="S94" i="6"/>
  <c r="S93" i="6"/>
  <c r="S92" i="6"/>
  <c r="S91" i="6"/>
  <c r="S90" i="6"/>
  <c r="S89" i="6"/>
  <c r="S88" i="6"/>
  <c r="S87" i="6"/>
  <c r="S86" i="6"/>
  <c r="S85" i="6"/>
  <c r="S84" i="6"/>
  <c r="S83" i="6"/>
  <c r="S82" i="6"/>
  <c r="S81" i="6"/>
  <c r="S80" i="6"/>
  <c r="S79" i="6"/>
  <c r="S78" i="6"/>
  <c r="S77" i="6"/>
  <c r="S76" i="6"/>
  <c r="S75" i="6"/>
  <c r="S74" i="6"/>
  <c r="S73" i="6"/>
  <c r="S72" i="6"/>
  <c r="S71" i="6"/>
  <c r="S70" i="6"/>
  <c r="S69" i="6"/>
  <c r="S68" i="6"/>
  <c r="S67" i="6"/>
  <c r="S66" i="6"/>
  <c r="S65" i="6"/>
  <c r="S64" i="6"/>
  <c r="S63" i="6"/>
  <c r="S62" i="6"/>
  <c r="S61" i="6"/>
  <c r="S60" i="6"/>
  <c r="S59" i="6"/>
  <c r="S58" i="6"/>
  <c r="S57" i="6"/>
  <c r="S56" i="6"/>
  <c r="S55" i="6"/>
  <c r="S54" i="6"/>
  <c r="S53" i="6"/>
  <c r="S52" i="6"/>
  <c r="S51" i="6"/>
  <c r="S50" i="6"/>
  <c r="S49" i="6"/>
  <c r="S48" i="6"/>
  <c r="S47" i="6"/>
  <c r="S46" i="6"/>
  <c r="S45" i="6"/>
  <c r="S44" i="6"/>
  <c r="S43" i="6"/>
  <c r="S42" i="6"/>
  <c r="S41" i="6"/>
  <c r="S40" i="6"/>
  <c r="S39" i="6"/>
  <c r="S38" i="6"/>
  <c r="S37" i="6"/>
  <c r="S36" i="6"/>
  <c r="S35" i="6"/>
  <c r="S34" i="6"/>
  <c r="S33" i="6"/>
  <c r="S32" i="6"/>
  <c r="S31" i="6"/>
  <c r="S30" i="6"/>
  <c r="S29" i="6"/>
  <c r="S28" i="6"/>
  <c r="S27" i="6"/>
  <c r="S26" i="6"/>
  <c r="S25" i="6"/>
  <c r="S24" i="6"/>
  <c r="S23" i="6"/>
  <c r="S22" i="6"/>
  <c r="S21" i="6"/>
  <c r="S20" i="6"/>
  <c r="S19" i="6"/>
  <c r="S18" i="6"/>
  <c r="S17" i="6"/>
  <c r="S16" i="6"/>
  <c r="S15" i="6"/>
  <c r="S14" i="6"/>
  <c r="S13" i="6"/>
  <c r="S12" i="6"/>
  <c r="S11" i="6"/>
  <c r="S10" i="6"/>
  <c r="S209" i="5"/>
  <c r="S208" i="5"/>
  <c r="S207" i="5"/>
  <c r="S206" i="5"/>
  <c r="S205" i="5"/>
  <c r="S204" i="5"/>
  <c r="S203" i="5"/>
  <c r="S202" i="5"/>
  <c r="S201" i="5"/>
  <c r="S200" i="5"/>
  <c r="S199" i="5"/>
  <c r="S198" i="5"/>
  <c r="S197" i="5"/>
  <c r="S196" i="5"/>
  <c r="S195" i="5"/>
  <c r="S194" i="5"/>
  <c r="S193" i="5"/>
  <c r="S192" i="5"/>
  <c r="S191" i="5"/>
  <c r="S190" i="5"/>
  <c r="S189" i="5"/>
  <c r="S188" i="5"/>
  <c r="S187" i="5"/>
  <c r="S186" i="5"/>
  <c r="S185" i="5"/>
  <c r="S184" i="5"/>
  <c r="S183" i="5"/>
  <c r="S182" i="5"/>
  <c r="S181" i="5"/>
  <c r="S180" i="5"/>
  <c r="S179" i="5"/>
  <c r="S178" i="5"/>
  <c r="S177" i="5"/>
  <c r="S176" i="5"/>
  <c r="S175" i="5"/>
  <c r="S174" i="5"/>
  <c r="S173" i="5"/>
  <c r="S172" i="5"/>
  <c r="S171" i="5"/>
  <c r="S170" i="5"/>
  <c r="S169" i="5"/>
  <c r="S168" i="5"/>
  <c r="S167" i="5"/>
  <c r="S166" i="5"/>
  <c r="S165" i="5"/>
  <c r="S164" i="5"/>
  <c r="S163" i="5"/>
  <c r="S162" i="5"/>
  <c r="S161" i="5"/>
  <c r="S160" i="5"/>
  <c r="S159" i="5"/>
  <c r="S158" i="5"/>
  <c r="S157" i="5"/>
  <c r="S156" i="5"/>
  <c r="S155" i="5"/>
  <c r="S154" i="5"/>
  <c r="S153" i="5"/>
  <c r="S152" i="5"/>
  <c r="S151" i="5"/>
  <c r="S150" i="5"/>
  <c r="S149" i="5"/>
  <c r="S148" i="5"/>
  <c r="S147" i="5"/>
  <c r="S146" i="5"/>
  <c r="S145" i="5"/>
  <c r="S144" i="5"/>
  <c r="S143" i="5"/>
  <c r="S142" i="5"/>
  <c r="S141" i="5"/>
  <c r="S140" i="5"/>
  <c r="S139" i="5"/>
  <c r="S138" i="5"/>
  <c r="S137" i="5"/>
  <c r="S136" i="5"/>
  <c r="S135" i="5"/>
  <c r="S134" i="5"/>
  <c r="S133" i="5"/>
  <c r="S132" i="5"/>
  <c r="S131" i="5"/>
  <c r="S130" i="5"/>
  <c r="S129" i="5"/>
  <c r="S128" i="5"/>
  <c r="S127" i="5"/>
  <c r="S126" i="5"/>
  <c r="S125" i="5"/>
  <c r="S124" i="5"/>
  <c r="S123" i="5"/>
  <c r="S122" i="5"/>
  <c r="S121" i="5"/>
  <c r="S120" i="5"/>
  <c r="S119" i="5"/>
  <c r="S118" i="5"/>
  <c r="S117" i="5"/>
  <c r="S116" i="5"/>
  <c r="S115" i="5"/>
  <c r="S114" i="5"/>
  <c r="S113" i="5"/>
  <c r="S112" i="5"/>
  <c r="S111" i="5"/>
  <c r="S110" i="5"/>
  <c r="S109" i="5"/>
  <c r="S108" i="5"/>
  <c r="S107" i="5"/>
  <c r="S106" i="5"/>
  <c r="S105" i="5"/>
  <c r="S104" i="5"/>
  <c r="S103" i="5"/>
  <c r="S102" i="5"/>
  <c r="S101" i="5"/>
  <c r="S100" i="5"/>
  <c r="S99" i="5"/>
  <c r="S98" i="5"/>
  <c r="S97" i="5"/>
  <c r="S96" i="5"/>
  <c r="S95" i="5"/>
  <c r="S94" i="5"/>
  <c r="S93" i="5"/>
  <c r="S92" i="5"/>
  <c r="S91" i="5"/>
  <c r="S90" i="5"/>
  <c r="S89" i="5"/>
  <c r="S88" i="5"/>
  <c r="S87" i="5"/>
  <c r="S86" i="5"/>
  <c r="S85" i="5"/>
  <c r="S84" i="5"/>
  <c r="S83" i="5"/>
  <c r="S82" i="5"/>
  <c r="S81" i="5"/>
  <c r="S80" i="5"/>
  <c r="S79" i="5"/>
  <c r="S78" i="5"/>
  <c r="S77" i="5"/>
  <c r="S76" i="5"/>
  <c r="S75" i="5"/>
  <c r="S74" i="5"/>
  <c r="S73" i="5"/>
  <c r="S72" i="5"/>
  <c r="S71" i="5"/>
  <c r="S70" i="5"/>
  <c r="S69" i="5"/>
  <c r="S68" i="5"/>
  <c r="S67" i="5"/>
  <c r="S66" i="5"/>
  <c r="S65" i="5"/>
  <c r="S64" i="5"/>
  <c r="S63" i="5"/>
  <c r="S62" i="5"/>
  <c r="S61" i="5"/>
  <c r="S60" i="5"/>
  <c r="S59" i="5"/>
  <c r="S58" i="5"/>
  <c r="S57" i="5"/>
  <c r="S56" i="5"/>
  <c r="S55" i="5"/>
  <c r="S54" i="5"/>
  <c r="S53" i="5"/>
  <c r="S52" i="5"/>
  <c r="S51" i="5"/>
  <c r="S50" i="5"/>
  <c r="S49" i="5"/>
  <c r="S48" i="5"/>
  <c r="S47" i="5"/>
  <c r="S46" i="5"/>
  <c r="S45" i="5"/>
  <c r="S44" i="5"/>
  <c r="S43" i="5"/>
  <c r="S42" i="5"/>
  <c r="S41" i="5"/>
  <c r="S40" i="5"/>
  <c r="S39" i="5"/>
  <c r="S38" i="5"/>
  <c r="S37" i="5"/>
  <c r="S36" i="5"/>
  <c r="S35" i="5"/>
  <c r="S34" i="5"/>
  <c r="S33" i="5"/>
  <c r="S32" i="5"/>
  <c r="S31" i="5"/>
  <c r="S30" i="5"/>
  <c r="S29" i="5"/>
  <c r="S28" i="5"/>
  <c r="S27" i="5"/>
  <c r="S26" i="5"/>
  <c r="S25" i="5"/>
  <c r="S24" i="5"/>
  <c r="S23" i="5"/>
  <c r="S22" i="5"/>
  <c r="S21" i="5"/>
  <c r="S20" i="5"/>
  <c r="S19" i="5"/>
  <c r="S18" i="5"/>
  <c r="S17" i="5"/>
  <c r="S16" i="5"/>
  <c r="S15" i="5"/>
  <c r="S14" i="5"/>
  <c r="S13" i="5"/>
  <c r="S12" i="5"/>
  <c r="S11" i="5"/>
  <c r="S10" i="5"/>
  <c r="S209" i="4"/>
  <c r="S208" i="4"/>
  <c r="S207" i="4"/>
  <c r="S206" i="4"/>
  <c r="S205" i="4"/>
  <c r="S204" i="4"/>
  <c r="S203" i="4"/>
  <c r="S202" i="4"/>
  <c r="S201" i="4"/>
  <c r="S200" i="4"/>
  <c r="S199" i="4"/>
  <c r="S198" i="4"/>
  <c r="S197" i="4"/>
  <c r="S196" i="4"/>
  <c r="S195" i="4"/>
  <c r="S194" i="4"/>
  <c r="S193" i="4"/>
  <c r="S192" i="4"/>
  <c r="S191" i="4"/>
  <c r="S190" i="4"/>
  <c r="S189" i="4"/>
  <c r="S188" i="4"/>
  <c r="S187" i="4"/>
  <c r="S186" i="4"/>
  <c r="S185" i="4"/>
  <c r="S184" i="4"/>
  <c r="S183" i="4"/>
  <c r="S182" i="4"/>
  <c r="S181" i="4"/>
  <c r="S180" i="4"/>
  <c r="S179" i="4"/>
  <c r="S178" i="4"/>
  <c r="S177" i="4"/>
  <c r="S176" i="4"/>
  <c r="S175" i="4"/>
  <c r="S174" i="4"/>
  <c r="S173" i="4"/>
  <c r="S172" i="4"/>
  <c r="S171" i="4"/>
  <c r="S170" i="4"/>
  <c r="S169" i="4"/>
  <c r="S168" i="4"/>
  <c r="S167" i="4"/>
  <c r="S166" i="4"/>
  <c r="S165" i="4"/>
  <c r="S164" i="4"/>
  <c r="S163" i="4"/>
  <c r="S162" i="4"/>
  <c r="S161" i="4"/>
  <c r="S160" i="4"/>
  <c r="S159" i="4"/>
  <c r="S158" i="4"/>
  <c r="S157" i="4"/>
  <c r="S156" i="4"/>
  <c r="S155" i="4"/>
  <c r="S154" i="4"/>
  <c r="S153" i="4"/>
  <c r="S152" i="4"/>
  <c r="S151" i="4"/>
  <c r="S150" i="4"/>
  <c r="S149" i="4"/>
  <c r="S148" i="4"/>
  <c r="S147" i="4"/>
  <c r="S146" i="4"/>
  <c r="S145" i="4"/>
  <c r="S144" i="4"/>
  <c r="S143" i="4"/>
  <c r="S142" i="4"/>
  <c r="S141" i="4"/>
  <c r="S140" i="4"/>
  <c r="S139" i="4"/>
  <c r="S138" i="4"/>
  <c r="S137" i="4"/>
  <c r="S136" i="4"/>
  <c r="S135" i="4"/>
  <c r="S134" i="4"/>
  <c r="S133" i="4"/>
  <c r="S132" i="4"/>
  <c r="S131" i="4"/>
  <c r="S130" i="4"/>
  <c r="S129" i="4"/>
  <c r="S128" i="4"/>
  <c r="S127" i="4"/>
  <c r="S126" i="4"/>
  <c r="S125" i="4"/>
  <c r="S124" i="4"/>
  <c r="S123" i="4"/>
  <c r="S122" i="4"/>
  <c r="S121" i="4"/>
  <c r="S120" i="4"/>
  <c r="S119" i="4"/>
  <c r="S118" i="4"/>
  <c r="S117" i="4"/>
  <c r="S116" i="4"/>
  <c r="S115" i="4"/>
  <c r="S114" i="4"/>
  <c r="S113" i="4"/>
  <c r="S112" i="4"/>
  <c r="S111" i="4"/>
  <c r="S110" i="4"/>
  <c r="S109" i="4"/>
  <c r="S108" i="4"/>
  <c r="S107" i="4"/>
  <c r="S106" i="4"/>
  <c r="S105" i="4"/>
  <c r="S104" i="4"/>
  <c r="S103" i="4"/>
  <c r="S102" i="4"/>
  <c r="S101" i="4"/>
  <c r="S100" i="4"/>
  <c r="S99" i="4"/>
  <c r="S98" i="4"/>
  <c r="S97" i="4"/>
  <c r="S96" i="4"/>
  <c r="S95" i="4"/>
  <c r="S94" i="4"/>
  <c r="S93" i="4"/>
  <c r="S92" i="4"/>
  <c r="S91" i="4"/>
  <c r="S90" i="4"/>
  <c r="S89" i="4"/>
  <c r="S88" i="4"/>
  <c r="S87" i="4"/>
  <c r="S86" i="4"/>
  <c r="S85" i="4"/>
  <c r="S84" i="4"/>
  <c r="S83" i="4"/>
  <c r="S82" i="4"/>
  <c r="S81" i="4"/>
  <c r="S80" i="4"/>
  <c r="S79" i="4"/>
  <c r="S78" i="4"/>
  <c r="S77" i="4"/>
  <c r="S76" i="4"/>
  <c r="S75" i="4"/>
  <c r="S74" i="4"/>
  <c r="S73" i="4"/>
  <c r="S72" i="4"/>
  <c r="S71" i="4"/>
  <c r="S70" i="4"/>
  <c r="S69" i="4"/>
  <c r="S68" i="4"/>
  <c r="S67" i="4"/>
  <c r="S66" i="4"/>
  <c r="S65" i="4"/>
  <c r="S64" i="4"/>
  <c r="S63" i="4"/>
  <c r="S62" i="4"/>
  <c r="S61" i="4"/>
  <c r="S60" i="4"/>
  <c r="S59" i="4"/>
  <c r="S58" i="4"/>
  <c r="S57" i="4"/>
  <c r="S56" i="4"/>
  <c r="S55" i="4"/>
  <c r="S54" i="4"/>
  <c r="S53" i="4"/>
  <c r="S52" i="4"/>
  <c r="S51" i="4"/>
  <c r="S50" i="4"/>
  <c r="S49" i="4"/>
  <c r="S48" i="4"/>
  <c r="S47" i="4"/>
  <c r="S46" i="4"/>
  <c r="S45" i="4"/>
  <c r="S44" i="4"/>
  <c r="S43" i="4"/>
  <c r="S42" i="4"/>
  <c r="S41" i="4"/>
  <c r="S40" i="4"/>
  <c r="S39" i="4"/>
  <c r="S38" i="4"/>
  <c r="S37" i="4"/>
  <c r="S36" i="4"/>
  <c r="S35" i="4"/>
  <c r="S34" i="4"/>
  <c r="S33" i="4"/>
  <c r="S32" i="4"/>
  <c r="S31" i="4"/>
  <c r="S30" i="4"/>
  <c r="S29" i="4"/>
  <c r="S28" i="4"/>
  <c r="S27" i="4"/>
  <c r="S26" i="4"/>
  <c r="S25" i="4"/>
  <c r="S24" i="4"/>
  <c r="S23" i="4"/>
  <c r="S22" i="4"/>
  <c r="S21" i="4"/>
  <c r="S20" i="4"/>
  <c r="S19" i="4"/>
  <c r="S18" i="4"/>
  <c r="S17" i="4"/>
  <c r="S16" i="4"/>
  <c r="S15" i="4"/>
  <c r="S14" i="4"/>
  <c r="S13" i="4"/>
  <c r="S12" i="4"/>
  <c r="S11" i="4"/>
  <c r="S10" i="4"/>
  <c r="S209" i="3"/>
  <c r="S208" i="3"/>
  <c r="S207" i="3"/>
  <c r="S206" i="3"/>
  <c r="S205" i="3"/>
  <c r="S204" i="3"/>
  <c r="S203" i="3"/>
  <c r="S202" i="3"/>
  <c r="S201" i="3"/>
  <c r="S200" i="3"/>
  <c r="S199" i="3"/>
  <c r="S198" i="3"/>
  <c r="S197" i="3"/>
  <c r="S196" i="3"/>
  <c r="S195" i="3"/>
  <c r="S194" i="3"/>
  <c r="S193" i="3"/>
  <c r="S192" i="3"/>
  <c r="S191" i="3"/>
  <c r="S190" i="3"/>
  <c r="S189" i="3"/>
  <c r="S188" i="3"/>
  <c r="S187" i="3"/>
  <c r="S186" i="3"/>
  <c r="S185" i="3"/>
  <c r="S184" i="3"/>
  <c r="S183" i="3"/>
  <c r="S182" i="3"/>
  <c r="S181" i="3"/>
  <c r="S180" i="3"/>
  <c r="S179" i="3"/>
  <c r="S178" i="3"/>
  <c r="S177" i="3"/>
  <c r="S176" i="3"/>
  <c r="S175" i="3"/>
  <c r="S174" i="3"/>
  <c r="S173" i="3"/>
  <c r="S172" i="3"/>
  <c r="S171" i="3"/>
  <c r="S170" i="3"/>
  <c r="S169" i="3"/>
  <c r="S168" i="3"/>
  <c r="S167" i="3"/>
  <c r="S166" i="3"/>
  <c r="S165" i="3"/>
  <c r="S164" i="3"/>
  <c r="S163" i="3"/>
  <c r="S162" i="3"/>
  <c r="S161" i="3"/>
  <c r="S160" i="3"/>
  <c r="S159" i="3"/>
  <c r="S158" i="3"/>
  <c r="S157" i="3"/>
  <c r="S156" i="3"/>
  <c r="S155" i="3"/>
  <c r="S154" i="3"/>
  <c r="S153" i="3"/>
  <c r="S152" i="3"/>
  <c r="S151" i="3"/>
  <c r="S150" i="3"/>
  <c r="S149" i="3"/>
  <c r="S148" i="3"/>
  <c r="S147" i="3"/>
  <c r="S146" i="3"/>
  <c r="S145" i="3"/>
  <c r="S144" i="3"/>
  <c r="S143" i="3"/>
  <c r="S142" i="3"/>
  <c r="S141" i="3"/>
  <c r="S140" i="3"/>
  <c r="S139" i="3"/>
  <c r="S138" i="3"/>
  <c r="S137" i="3"/>
  <c r="S136" i="3"/>
  <c r="S135" i="3"/>
  <c r="S134" i="3"/>
  <c r="S133" i="3"/>
  <c r="S132" i="3"/>
  <c r="S131" i="3"/>
  <c r="S130" i="3"/>
  <c r="S129" i="3"/>
  <c r="S128" i="3"/>
  <c r="S127" i="3"/>
  <c r="S126" i="3"/>
  <c r="S125" i="3"/>
  <c r="S124" i="3"/>
  <c r="S123" i="3"/>
  <c r="S122" i="3"/>
  <c r="S121" i="3"/>
  <c r="S120" i="3"/>
  <c r="S119" i="3"/>
  <c r="S118" i="3"/>
  <c r="S117" i="3"/>
  <c r="S116" i="3"/>
  <c r="S115" i="3"/>
  <c r="S114" i="3"/>
  <c r="S113" i="3"/>
  <c r="S112" i="3"/>
  <c r="S111" i="3"/>
  <c r="S110" i="3"/>
  <c r="S109" i="3"/>
  <c r="S108" i="3"/>
  <c r="S107" i="3"/>
  <c r="S106" i="3"/>
  <c r="S105" i="3"/>
  <c r="S104" i="3"/>
  <c r="S103" i="3"/>
  <c r="S102" i="3"/>
  <c r="S101" i="3"/>
  <c r="S100" i="3"/>
  <c r="S99" i="3"/>
  <c r="S98" i="3"/>
  <c r="S97" i="3"/>
  <c r="S96" i="3"/>
  <c r="S95" i="3"/>
  <c r="S94" i="3"/>
  <c r="S93" i="3"/>
  <c r="S92" i="3"/>
  <c r="S91" i="3"/>
  <c r="S90" i="3"/>
  <c r="S89" i="3"/>
  <c r="S88" i="3"/>
  <c r="S87" i="3"/>
  <c r="S86" i="3"/>
  <c r="S85" i="3"/>
  <c r="S84" i="3"/>
  <c r="S83" i="3"/>
  <c r="S82" i="3"/>
  <c r="S81" i="3"/>
  <c r="S80" i="3"/>
  <c r="S79" i="3"/>
  <c r="S78" i="3"/>
  <c r="S77" i="3"/>
  <c r="S76" i="3"/>
  <c r="S75" i="3"/>
  <c r="S74" i="3"/>
  <c r="S73" i="3"/>
  <c r="S72" i="3"/>
  <c r="S71" i="3"/>
  <c r="S70" i="3"/>
  <c r="S69" i="3"/>
  <c r="S68" i="3"/>
  <c r="S67" i="3"/>
  <c r="S66" i="3"/>
  <c r="S65" i="3"/>
  <c r="S64" i="3"/>
  <c r="S63" i="3"/>
  <c r="S62" i="3"/>
  <c r="S61" i="3"/>
  <c r="S60" i="3"/>
  <c r="S59" i="3"/>
  <c r="S58" i="3"/>
  <c r="S57" i="3"/>
  <c r="S56" i="3"/>
  <c r="S55" i="3"/>
  <c r="S54" i="3"/>
  <c r="S53" i="3"/>
  <c r="S52" i="3"/>
  <c r="S51" i="3"/>
  <c r="S50" i="3"/>
  <c r="S49" i="3"/>
  <c r="S48" i="3"/>
  <c r="S47" i="3"/>
  <c r="S46" i="3"/>
  <c r="S45" i="3"/>
  <c r="S44" i="3"/>
  <c r="S43" i="3"/>
  <c r="S42" i="3"/>
  <c r="S41" i="3"/>
  <c r="S40" i="3"/>
  <c r="S39" i="3"/>
  <c r="S38" i="3"/>
  <c r="S37" i="3"/>
  <c r="S36" i="3"/>
  <c r="S35" i="3"/>
  <c r="S34" i="3"/>
  <c r="S33" i="3"/>
  <c r="S32" i="3"/>
  <c r="S31" i="3"/>
  <c r="S30" i="3"/>
  <c r="S29" i="3"/>
  <c r="S28" i="3"/>
  <c r="S27" i="3"/>
  <c r="S26" i="3"/>
  <c r="S25" i="3"/>
  <c r="S24" i="3"/>
  <c r="S23" i="3"/>
  <c r="S22" i="3"/>
  <c r="S21" i="3"/>
  <c r="S20" i="3"/>
  <c r="S19" i="3"/>
  <c r="S18" i="3"/>
  <c r="S17" i="3"/>
  <c r="S16" i="3"/>
  <c r="S15" i="3"/>
  <c r="S14" i="3"/>
  <c r="S13" i="3"/>
  <c r="S12" i="3"/>
  <c r="S11" i="3"/>
  <c r="S10" i="3"/>
</calcChain>
</file>

<file path=xl/sharedStrings.xml><?xml version="1.0" encoding="utf-8"?>
<sst xmlns="http://schemas.openxmlformats.org/spreadsheetml/2006/main" count="554" uniqueCount="265">
  <si>
    <t>Ground-truth audit — halwani_FY2024. Full instructions: README.md in the packet.</t>
  </si>
  <si>
    <r>
      <rPr>
        <sz val="10"/>
        <rFont val="Noto Sans"/>
        <family val="2"/>
      </rPr>
      <t>تدقيق البيانات المرجعية — اكتب الأرقام كما هي مطبوعة في الصفحات، دون الرجوع إلى أي نسخة سابقة</t>
    </r>
    <r>
      <rPr>
        <sz val="10"/>
        <rFont val="Arial"/>
        <family val="2"/>
      </rPr>
      <t>.</t>
    </r>
  </si>
  <si>
    <t>1. On the 'filing' sheet, write your name in 'annotator'.</t>
  </si>
  <si>
    <t>2. Each statement sheet already has the rows, labels, note references, column headers and periods. The figure cells are empty.</t>
  </si>
  <si>
    <t>3. Type every figure from the page images (pages/ folder) or the PDF (filings/ folder), exactly as printed:</t>
  </si>
  <si>
    <t xml:space="preserve">   Western digits; (1,234) or -1234 for a negative; - for a printed dash; leave a cell empty when nothing is printed;</t>
  </si>
  <si>
    <t xml:space="preserve">   a decimal point, never a comma, for decimals (0.86, not 0,86); never rescale (thousands stay thousands).</t>
  </si>
  <si>
    <t>4. Do not insert, delete or move rows or columns. If a printed line is missing, add it below the last row, with its</t>
  </si>
  <si>
    <t xml:space="preserve">   kind, label and figures, and write MISSING ROW in the comment column.</t>
  </si>
  <si>
    <t>5. If a label, note reference, header or period differs from the page, write the printed version in the comment</t>
  </si>
  <si>
    <t xml:space="preserve">   column, starting with LABEL:, NOTE:, HEADER: or PERIOD:.</t>
  </si>
  <si>
    <t>6. The check column turns green when a total adds up. If it stays red, re-read the figures; if the page itself</t>
  </si>
  <si>
    <t xml:space="preserve">   does not add up, keep what is printed and write PRINTED in the comment column.</t>
  </si>
  <si>
    <t>7. Note your start and end times in time_log.csv.</t>
  </si>
  <si>
    <t>field</t>
  </si>
  <si>
    <t>value</t>
  </si>
  <si>
    <t>help</t>
  </si>
  <si>
    <t>filing_id</t>
  </si>
  <si>
    <t>halwani_FY2024</t>
  </si>
  <si>
    <t>do not change</t>
  </si>
  <si>
    <t>entity</t>
  </si>
  <si>
    <t>Halwani Bros</t>
  </si>
  <si>
    <t>source_url</t>
  </si>
  <si>
    <t>https://www.saudiexchange.sa/Resources/fsPdf/469_0_2025-03-04_22-00-02_Ar.pdf</t>
  </si>
  <si>
    <t>sha256</t>
  </si>
  <si>
    <t>0de0910610b336aa8fc77070bc08b7fa5f8b90ecf4efc100fbc9a37b544dc964</t>
  </si>
  <si>
    <t>fingerprint of the exact PDF annotated</t>
  </si>
  <si>
    <t>period_end</t>
  </si>
  <si>
    <t>2024-12-31</t>
  </si>
  <si>
    <t>YYYY-MM-DD, e.g. 2024-12-31</t>
  </si>
  <si>
    <t>report</t>
  </si>
  <si>
    <t>annual</t>
  </si>
  <si>
    <t>annual / interim</t>
  </si>
  <si>
    <t>consolidated</t>
  </si>
  <si>
    <t>yes</t>
  </si>
  <si>
    <t>yes / no</t>
  </si>
  <si>
    <t>digits</t>
  </si>
  <si>
    <t>arabic-indic</t>
  </si>
  <si>
    <t>arabic-indic / western / mixed — as printed</t>
  </si>
  <si>
    <t>annotator</t>
  </si>
  <si>
    <t>who drafted the figures (the AI draft, or your name)</t>
  </si>
  <si>
    <t>verified_by</t>
  </si>
  <si>
    <t>person who checked every figure against the page image</t>
  </si>
  <si>
    <t>comment</t>
  </si>
  <si>
    <t>type</t>
  </si>
  <si>
    <t>comprehensive_income</t>
  </si>
  <si>
    <t>title_ar</t>
  </si>
  <si>
    <t>قائمة الدخل الشامل الموحدة</t>
  </si>
  <si>
    <t>pages</t>
  </si>
  <si>
    <t>7</t>
  </si>
  <si>
    <t>PDF page numbers, e.g. 11 or 11,12</t>
  </si>
  <si>
    <t>currency</t>
  </si>
  <si>
    <t>SAR</t>
  </si>
  <si>
    <t>scale</t>
  </si>
  <si>
    <t>1 = riyals, 1000 = thousands, 1000000 = millions (as stated on the page)</t>
  </si>
  <si>
    <t>kind</t>
  </si>
  <si>
    <t>label_ar</t>
  </si>
  <si>
    <t>notes</t>
  </si>
  <si>
    <r>
      <rPr>
        <b/>
        <sz val="11"/>
        <color rgb="FFFFFFFF"/>
        <rFont val="Cambria"/>
        <family val="1"/>
      </rPr>
      <t>2024</t>
    </r>
    <r>
      <rPr>
        <b/>
        <sz val="11"/>
        <color rgb="FFFFFFFF"/>
        <rFont val="Noto Sans"/>
        <family val="2"/>
      </rPr>
      <t>م</t>
    </r>
  </si>
  <si>
    <r>
      <rPr>
        <b/>
        <sz val="11"/>
        <color rgb="FFFFFFFF"/>
        <rFont val="Cambria"/>
        <family val="1"/>
      </rPr>
      <t>2023</t>
    </r>
    <r>
      <rPr>
        <b/>
        <sz val="11"/>
        <color rgb="FFFFFFFF"/>
        <rFont val="Noto Sans"/>
        <family val="2"/>
      </rPr>
      <t>م</t>
    </r>
  </si>
  <si>
    <t>sum_of (rows)</t>
  </si>
  <si>
    <t>check</t>
  </si>
  <si>
    <t>period →</t>
  </si>
  <si>
    <t>2023-12-31</t>
  </si>
  <si>
    <t>currency →</t>
  </si>
  <si>
    <t>item</t>
  </si>
  <si>
    <t>الإيرادات من العقود مع العملاء</t>
  </si>
  <si>
    <t>5</t>
  </si>
  <si>
    <t>تكلفة الإيرادات</t>
  </si>
  <si>
    <t>6</t>
  </si>
  <si>
    <t>subtotal</t>
  </si>
  <si>
    <t>مجمل الربح</t>
  </si>
  <si>
    <t>10,11</t>
  </si>
  <si>
    <t>مصاريف بيع وتوزيع</t>
  </si>
  <si>
    <t>8</t>
  </si>
  <si>
    <t>مصاريف عمومية وإدارية</t>
  </si>
  <si>
    <t>9</t>
  </si>
  <si>
    <t>إيرادات أخرى، صافي</t>
  </si>
  <si>
    <t>خسائر الانخفاض في قيمة ممتلكات وآلات ومعدات</t>
  </si>
  <si>
    <t>16</t>
  </si>
  <si>
    <t>-</t>
  </si>
  <si>
    <r>
      <rPr>
        <sz val="11"/>
        <color theme="1"/>
        <rFont val="Noto Sans"/>
        <family val="2"/>
      </rPr>
      <t xml:space="preserve">الربح </t>
    </r>
    <r>
      <rPr>
        <sz val="11"/>
        <color theme="1"/>
        <rFont val="Calibri"/>
        <family val="2"/>
        <charset val="1"/>
      </rPr>
      <t>/ (</t>
    </r>
    <r>
      <rPr>
        <sz val="11"/>
        <color theme="1"/>
        <rFont val="Noto Sans"/>
        <family val="2"/>
      </rPr>
      <t>الخسارة</t>
    </r>
    <r>
      <rPr>
        <sz val="11"/>
        <color theme="1"/>
        <rFont val="Calibri"/>
        <family val="2"/>
        <charset val="1"/>
      </rPr>
      <t xml:space="preserve">) </t>
    </r>
    <r>
      <rPr>
        <sz val="11"/>
        <color theme="1"/>
        <rFont val="Noto Sans"/>
        <family val="2"/>
      </rPr>
      <t>من العمليات</t>
    </r>
  </si>
  <si>
    <t>12,13,14,15,16</t>
  </si>
  <si>
    <t>تكلفة تمويل، صافي</t>
  </si>
  <si>
    <t>10</t>
  </si>
  <si>
    <t>خسائر بيع استثمارات مالية بالقيمة العادلة من خلال الأرباح والخسائر</t>
  </si>
  <si>
    <t>11</t>
  </si>
  <si>
    <t>أرباح من أدوات مالية مشتقة بالقيمة العادلة من خلال قائمة الدخل الشامل</t>
  </si>
  <si>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"/>
        <family val="2"/>
      </rPr>
      <t>خسائر</t>
    </r>
    <r>
      <rPr>
        <sz val="11"/>
        <color theme="1"/>
        <rFont val="Calibri"/>
        <family val="2"/>
        <charset val="1"/>
      </rPr>
      <t xml:space="preserve">) / </t>
    </r>
    <r>
      <rPr>
        <sz val="11"/>
        <color theme="1"/>
        <rFont val="Noto Sans"/>
        <family val="2"/>
      </rPr>
      <t>أرباح فروقات عملات أجنبية</t>
    </r>
  </si>
  <si>
    <r>
      <rPr>
        <sz val="11"/>
        <color theme="1"/>
        <rFont val="Noto Sans"/>
        <family val="2"/>
      </rPr>
      <t xml:space="preserve">الربح </t>
    </r>
    <r>
      <rPr>
        <sz val="11"/>
        <color theme="1"/>
        <rFont val="Calibri"/>
        <family val="2"/>
        <charset val="1"/>
      </rPr>
      <t>/ (</t>
    </r>
    <r>
      <rPr>
        <sz val="11"/>
        <color theme="1"/>
        <rFont val="Noto Sans"/>
        <family val="2"/>
      </rPr>
      <t>الخسارة</t>
    </r>
    <r>
      <rPr>
        <sz val="11"/>
        <color theme="1"/>
        <rFont val="Calibri"/>
        <family val="2"/>
        <charset val="1"/>
      </rPr>
      <t xml:space="preserve">) </t>
    </r>
    <r>
      <rPr>
        <sz val="11"/>
        <color theme="1"/>
        <rFont val="Noto Sans"/>
        <family val="2"/>
      </rPr>
      <t>قبل الزكاة وضريبة الدخل</t>
    </r>
  </si>
  <si>
    <t>17,18,19,20,21</t>
  </si>
  <si>
    <t>الزكاة</t>
  </si>
  <si>
    <r>
      <rPr>
        <sz val="10"/>
        <rFont val="Arial"/>
        <family val="2"/>
      </rPr>
      <t>12(</t>
    </r>
    <r>
      <rPr>
        <sz val="10"/>
        <rFont val="Noto Sans"/>
        <family val="2"/>
      </rPr>
      <t>ب</t>
    </r>
    <r>
      <rPr>
        <sz val="10"/>
        <rFont val="Arial"/>
        <family val="2"/>
      </rPr>
      <t>)</t>
    </r>
  </si>
  <si>
    <t>ضريبة الدخل</t>
  </si>
  <si>
    <r>
      <rPr>
        <sz val="10"/>
        <rFont val="Arial"/>
        <family val="2"/>
      </rPr>
      <t>12(</t>
    </r>
    <r>
      <rPr>
        <sz val="10"/>
        <rFont val="Noto Sans"/>
        <family val="2"/>
      </rPr>
      <t>د</t>
    </r>
    <r>
      <rPr>
        <sz val="10"/>
        <rFont val="Arial"/>
        <family val="2"/>
      </rPr>
      <t>)</t>
    </r>
  </si>
  <si>
    <t>total</t>
  </si>
  <si>
    <r>
      <rPr>
        <sz val="11"/>
        <color theme="1"/>
        <rFont val="Noto Sans"/>
        <family val="2"/>
      </rPr>
      <t xml:space="preserve">ربح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Noto Sans"/>
        <family val="2"/>
      </rPr>
      <t>خسارة السنة</t>
    </r>
  </si>
  <si>
    <t>22,23,24</t>
  </si>
  <si>
    <t>section</t>
  </si>
  <si>
    <t>خسارة شاملة أخري</t>
  </si>
  <si>
    <r>
      <rPr>
        <sz val="11"/>
        <color theme="1"/>
        <rFont val="Noto Sans"/>
        <family val="2"/>
      </rPr>
      <t xml:space="preserve">بنود يعاد تصنيفها لاحقا الي الربح او الخسارة </t>
    </r>
    <r>
      <rPr>
        <sz val="11"/>
        <color theme="1"/>
        <rFont val="Calibri"/>
        <family val="2"/>
        <charset val="1"/>
      </rPr>
      <t>:</t>
    </r>
  </si>
  <si>
    <t>فروقات ترجمة عملة أجنبية</t>
  </si>
  <si>
    <t>13</t>
  </si>
  <si>
    <r>
      <rPr>
        <sz val="11"/>
        <color theme="1"/>
        <rFont val="Noto Sans"/>
        <family val="2"/>
      </rPr>
      <t xml:space="preserve">بنود لن يعاد تصنيفه إلى الربح أو الخسارة </t>
    </r>
    <r>
      <rPr>
        <sz val="11"/>
        <color theme="1"/>
        <rFont val="Calibri"/>
        <family val="2"/>
        <charset val="1"/>
      </rPr>
      <t>:</t>
    </r>
  </si>
  <si>
    <r>
      <rPr>
        <sz val="11"/>
        <color theme="1"/>
        <rFont val="Noto Sans"/>
        <family val="2"/>
      </rPr>
      <t xml:space="preserve">ربح </t>
    </r>
    <r>
      <rPr>
        <sz val="11"/>
        <color theme="1"/>
        <rFont val="Calibri"/>
        <family val="2"/>
        <charset val="1"/>
      </rPr>
      <t>/ (</t>
    </r>
    <r>
      <rPr>
        <sz val="11"/>
        <color theme="1"/>
        <rFont val="Noto Sans"/>
        <family val="2"/>
      </rPr>
      <t>خسارة</t>
    </r>
    <r>
      <rPr>
        <sz val="11"/>
        <color theme="1"/>
        <rFont val="Calibri"/>
        <family val="2"/>
        <charset val="1"/>
      </rPr>
      <t xml:space="preserve">) </t>
    </r>
    <r>
      <rPr>
        <sz val="11"/>
        <color theme="1"/>
        <rFont val="Noto Sans"/>
        <family val="2"/>
      </rPr>
      <t>إعادة قياس التزامات المنافع المحددة للموظفين</t>
    </r>
  </si>
  <si>
    <t>إجمالي الخسارة الشاملة الأخري للسنة</t>
  </si>
  <si>
    <t>28,30</t>
  </si>
  <si>
    <t>إجمالي الخسارة الشاملة للسنة</t>
  </si>
  <si>
    <t>25,31</t>
  </si>
  <si>
    <r>
      <rPr>
        <sz val="11"/>
        <color theme="1"/>
        <rFont val="Noto Sans"/>
        <family val="2"/>
      </rPr>
      <t xml:space="preserve">ربح </t>
    </r>
    <r>
      <rPr>
        <sz val="11"/>
        <color theme="1"/>
        <rFont val="Calibri"/>
        <family val="2"/>
        <charset val="1"/>
      </rPr>
      <t>/ (</t>
    </r>
    <r>
      <rPr>
        <sz val="11"/>
        <color theme="1"/>
        <rFont val="Noto Sans"/>
        <family val="2"/>
      </rPr>
      <t>خسارة</t>
    </r>
    <r>
      <rPr>
        <sz val="11"/>
        <color theme="1"/>
        <rFont val="Calibri"/>
        <family val="2"/>
        <charset val="1"/>
      </rPr>
      <t xml:space="preserve">) </t>
    </r>
    <r>
      <rPr>
        <sz val="11"/>
        <color theme="1"/>
        <rFont val="Noto Sans"/>
        <family val="2"/>
      </rPr>
      <t>السهم</t>
    </r>
    <r>
      <rPr>
        <sz val="11"/>
        <color theme="1"/>
        <rFont val="Calibri"/>
        <family val="2"/>
        <charset val="1"/>
      </rPr>
      <t>:</t>
    </r>
  </si>
  <si>
    <r>
      <rPr>
        <sz val="11"/>
        <color theme="1"/>
        <rFont val="Noto Sans"/>
        <family val="2"/>
      </rPr>
      <t xml:space="preserve">الربح </t>
    </r>
    <r>
      <rPr>
        <sz val="11"/>
        <color theme="1"/>
        <rFont val="Calibri"/>
        <family val="2"/>
        <charset val="1"/>
      </rPr>
      <t>/ (</t>
    </r>
    <r>
      <rPr>
        <sz val="11"/>
        <color theme="1"/>
        <rFont val="Noto Sans"/>
        <family val="2"/>
      </rPr>
      <t>الخسارة</t>
    </r>
    <r>
      <rPr>
        <sz val="11"/>
        <color theme="1"/>
        <rFont val="Calibri"/>
        <family val="2"/>
        <charset val="1"/>
      </rPr>
      <t xml:space="preserve">) </t>
    </r>
    <r>
      <rPr>
        <sz val="11"/>
        <color theme="1"/>
        <rFont val="Noto Sans"/>
        <family val="2"/>
      </rPr>
      <t>الأساسي والمخفض للسهم للسنة العائد لحملة الأسهم العادية من ربح</t>
    </r>
    <r>
      <rPr>
        <sz val="11"/>
        <color theme="1"/>
        <rFont val="Calibri"/>
        <family val="2"/>
        <charset val="1"/>
      </rPr>
      <t>/ (</t>
    </r>
    <r>
      <rPr>
        <sz val="11"/>
        <color theme="1"/>
        <rFont val="Noto Sans"/>
        <family val="2"/>
      </rPr>
      <t>خسارة</t>
    </r>
    <r>
      <rPr>
        <sz val="11"/>
        <color theme="1"/>
        <rFont val="Calibri"/>
        <family val="2"/>
        <charset val="1"/>
      </rPr>
      <t xml:space="preserve">) </t>
    </r>
    <r>
      <rPr>
        <sz val="11"/>
        <color theme="1"/>
        <rFont val="Noto Sans"/>
        <family val="2"/>
      </rPr>
      <t>التشغيل</t>
    </r>
  </si>
  <si>
    <t>15</t>
  </si>
  <si>
    <t>riyals per share</t>
  </si>
  <si>
    <r>
      <rPr>
        <sz val="11"/>
        <color theme="1"/>
        <rFont val="Noto Sans"/>
        <family val="2"/>
      </rPr>
      <t xml:space="preserve">الربح </t>
    </r>
    <r>
      <rPr>
        <sz val="11"/>
        <color theme="1"/>
        <rFont val="Calibri"/>
        <family val="2"/>
        <charset val="1"/>
      </rPr>
      <t>/ (</t>
    </r>
    <r>
      <rPr>
        <sz val="11"/>
        <color theme="1"/>
        <rFont val="Noto Sans"/>
        <family val="2"/>
      </rPr>
      <t>الخسارة</t>
    </r>
    <r>
      <rPr>
        <sz val="11"/>
        <color theme="1"/>
        <rFont val="Calibri"/>
        <family val="2"/>
        <charset val="1"/>
      </rPr>
      <t xml:space="preserve">) </t>
    </r>
    <r>
      <rPr>
        <sz val="11"/>
        <color theme="1"/>
        <rFont val="Noto Sans"/>
        <family val="2"/>
      </rPr>
      <t>الأساسي والمخفض للسهم للسنة العائد لحملة الأسهم العادية من الربح للسنة</t>
    </r>
  </si>
  <si>
    <t>financial_position</t>
  </si>
  <si>
    <t>قائمة المركز المالي الموحدة</t>
  </si>
  <si>
    <t>8,9</t>
  </si>
  <si>
    <t>الموجودات</t>
  </si>
  <si>
    <t>الموجودات غير المتداولة</t>
  </si>
  <si>
    <t>ممتلكات وآلات ومعدات</t>
  </si>
  <si>
    <t>موجودات غير ملموسة</t>
  </si>
  <si>
    <t>18</t>
  </si>
  <si>
    <t>موجودات حق الاستخدام</t>
  </si>
  <si>
    <t>19</t>
  </si>
  <si>
    <t>استثمارات عقارية</t>
  </si>
  <si>
    <t>17</t>
  </si>
  <si>
    <t>موجودات ضريبية مؤجلة</t>
  </si>
  <si>
    <t>12</t>
  </si>
  <si>
    <t>إجمالي الموجودات غير المتداولة</t>
  </si>
  <si>
    <t>الموجودات المتداولة</t>
  </si>
  <si>
    <t>أصول متاحة للبيع</t>
  </si>
  <si>
    <t>مخزون</t>
  </si>
  <si>
    <t>20</t>
  </si>
  <si>
    <t>ذمم مدينة تجارية وموجودات متداولة أخرى</t>
  </si>
  <si>
    <t>22</t>
  </si>
  <si>
    <t>استثمارات بالتكلفة المطفأة</t>
  </si>
  <si>
    <t>23</t>
  </si>
  <si>
    <t>نقد وما في حكمه</t>
  </si>
  <si>
    <t>24</t>
  </si>
  <si>
    <t>إجمالي الموجودات المتداولة</t>
  </si>
  <si>
    <t>19,20,21,22,23</t>
  </si>
  <si>
    <t>إجمالي الموجودات</t>
  </si>
  <si>
    <t>17,24</t>
  </si>
  <si>
    <t>حقوق الملكية والمطلوبات</t>
  </si>
  <si>
    <t>حقوق الملكية</t>
  </si>
  <si>
    <t>رأس المال</t>
  </si>
  <si>
    <t>25</t>
  </si>
  <si>
    <t>احتياطي نظامي</t>
  </si>
  <si>
    <t>26</t>
  </si>
  <si>
    <t>أرباح مبقاة</t>
  </si>
  <si>
    <t>إحتياطي ترجمة عملات أجنبية</t>
  </si>
  <si>
    <t>إجمالي حقوق الملكية</t>
  </si>
  <si>
    <t>28,29,30,31</t>
  </si>
  <si>
    <t>المطلوبات غير المتداولة</t>
  </si>
  <si>
    <t>تمويل لأجل</t>
  </si>
  <si>
    <t>27</t>
  </si>
  <si>
    <t>عقود مرابحات إسلامية طويلة الأجل</t>
  </si>
  <si>
    <t>28</t>
  </si>
  <si>
    <t>مطلوبات ضريبية مؤجلة</t>
  </si>
  <si>
    <t>التزامات عقود إيجار</t>
  </si>
  <si>
    <t>التزامات المنافع المحددة للموظفين</t>
  </si>
  <si>
    <t>29</t>
  </si>
  <si>
    <t>إجمالي المطلوبات غير المتداولة</t>
  </si>
  <si>
    <t>34,35,36,37,38</t>
  </si>
  <si>
    <t>المطلوبات المتداولة</t>
  </si>
  <si>
    <t>الجزء المتداول من تمويل لأجل</t>
  </si>
  <si>
    <t>الجزء المتداول من عقود مرابحات إسلامية طويلة الأجل</t>
  </si>
  <si>
    <t>28-1</t>
  </si>
  <si>
    <t>مرابحات إسلامية قصيرة الاجل</t>
  </si>
  <si>
    <t>28-2</t>
  </si>
  <si>
    <t>الجزء المتداول من التزامات عقود إيجار</t>
  </si>
  <si>
    <t>ذمم دائنة تجارية</t>
  </si>
  <si>
    <t>مبالغ مستحقة الدفع ومطلوبات متداولة أخرى</t>
  </si>
  <si>
    <t>30</t>
  </si>
  <si>
    <t>زكاة وضريبة دخل مستحقة الدفع</t>
  </si>
  <si>
    <t>إجمالي المطلوبات المتداولة</t>
  </si>
  <si>
    <t>41,42,43,44,45,46,47</t>
  </si>
  <si>
    <t>إجمالي المطلوبات</t>
  </si>
  <si>
    <t>39,48</t>
  </si>
  <si>
    <t>إجمالي حقوق الملكية والمطلوبات</t>
  </si>
  <si>
    <t>32,49</t>
  </si>
  <si>
    <t>changes_in_equity</t>
  </si>
  <si>
    <t>قائمة التغيرات في حقوق الملكية الموحدة</t>
  </si>
  <si>
    <t>إحتياطي نظامي</t>
  </si>
  <si>
    <r>
      <rPr>
        <sz val="11"/>
        <color theme="1"/>
        <rFont val="Noto Sans"/>
        <family val="2"/>
      </rPr>
      <t xml:space="preserve">كما في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"/>
        <family val="2"/>
      </rPr>
      <t xml:space="preserve">يناير </t>
    </r>
    <r>
      <rPr>
        <sz val="11"/>
        <color theme="1"/>
        <rFont val="Calibri"/>
        <family val="2"/>
        <charset val="1"/>
      </rPr>
      <t>2024</t>
    </r>
    <r>
      <rPr>
        <sz val="11"/>
        <color theme="1"/>
        <rFont val="Noto Sans"/>
        <family val="2"/>
      </rPr>
      <t>م</t>
    </r>
  </si>
  <si>
    <t>ربح السنة</t>
  </si>
  <si>
    <t>الخسائر الشاملة الأخرى</t>
  </si>
  <si>
    <t>إجمالي الخسارة الشاملة الأخرى</t>
  </si>
  <si>
    <t>11,12</t>
  </si>
  <si>
    <r>
      <rPr>
        <sz val="11"/>
        <color theme="1"/>
        <rFont val="Calibri"/>
        <family val="2"/>
        <charset val="1"/>
      </rPr>
      <t xml:space="preserve">PRINTED LABEL: </t>
    </r>
    <r>
      <rPr>
        <sz val="11"/>
        <color theme="1"/>
        <rFont val="Noto Sans"/>
        <family val="2"/>
      </rPr>
      <t xml:space="preserve">إجمالي الخسارة الشاملة الأخرى </t>
    </r>
    <r>
      <rPr>
        <sz val="11"/>
        <color theme="1"/>
        <rFont val="Calibri"/>
        <family val="2"/>
        <charset val="1"/>
      </rPr>
      <t>is printed on PDF p10, although this line sums annual profit and other comprehensive loss. Template label retained.</t>
    </r>
  </si>
  <si>
    <t>المحول من احتياطي نظامي إلي الأرباح المبقاة</t>
  </si>
  <si>
    <r>
      <rPr>
        <sz val="11"/>
        <color theme="1"/>
        <rFont val="Noto Sans"/>
        <family val="2"/>
      </rPr>
      <t xml:space="preserve">كما في </t>
    </r>
    <r>
      <rPr>
        <sz val="11"/>
        <color theme="1"/>
        <rFont val="Calibri"/>
        <family val="2"/>
        <charset val="1"/>
      </rPr>
      <t xml:space="preserve">31 </t>
    </r>
    <r>
      <rPr>
        <sz val="11"/>
        <color theme="1"/>
        <rFont val="Noto Sans"/>
        <family val="2"/>
      </rPr>
      <t xml:space="preserve">ديسمبر </t>
    </r>
    <r>
      <rPr>
        <sz val="11"/>
        <color theme="1"/>
        <rFont val="Calibri"/>
        <family val="2"/>
        <charset val="1"/>
      </rPr>
      <t>2024</t>
    </r>
    <r>
      <rPr>
        <sz val="11"/>
        <color theme="1"/>
        <rFont val="Noto Sans"/>
        <family val="2"/>
      </rPr>
      <t>م</t>
    </r>
  </si>
  <si>
    <t>10,13,14</t>
  </si>
  <si>
    <r>
      <rPr>
        <sz val="11"/>
        <color theme="1"/>
        <rFont val="Noto Sans"/>
        <family val="2"/>
      </rPr>
      <t xml:space="preserve">كما في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"/>
        <family val="2"/>
      </rPr>
      <t xml:space="preserve">يناير </t>
    </r>
    <r>
      <rPr>
        <sz val="11"/>
        <color theme="1"/>
        <rFont val="Calibri"/>
        <family val="2"/>
        <charset val="1"/>
      </rPr>
      <t>2023</t>
    </r>
    <r>
      <rPr>
        <sz val="11"/>
        <color theme="1"/>
        <rFont val="Noto Sans"/>
        <family val="2"/>
      </rPr>
      <t>م</t>
    </r>
  </si>
  <si>
    <t>خسارة السنة</t>
  </si>
  <si>
    <t>إجمالي الخسارة الشاملة الأخرى للسنة</t>
  </si>
  <si>
    <t>17,18</t>
  </si>
  <si>
    <r>
      <rPr>
        <sz val="11"/>
        <color theme="1"/>
        <rFont val="Noto Sans"/>
        <family val="2"/>
      </rPr>
      <t xml:space="preserve">كما في </t>
    </r>
    <r>
      <rPr>
        <sz val="11"/>
        <color theme="1"/>
        <rFont val="Calibri"/>
        <family val="2"/>
        <charset val="1"/>
      </rPr>
      <t xml:space="preserve">31 </t>
    </r>
    <r>
      <rPr>
        <sz val="11"/>
        <color theme="1"/>
        <rFont val="Noto Sans"/>
        <family val="2"/>
      </rPr>
      <t xml:space="preserve">ديسمبر </t>
    </r>
    <r>
      <rPr>
        <sz val="11"/>
        <color theme="1"/>
        <rFont val="Calibri"/>
        <family val="2"/>
        <charset val="1"/>
      </rPr>
      <t>2023</t>
    </r>
    <r>
      <rPr>
        <sz val="11"/>
        <color theme="1"/>
        <rFont val="Noto Sans"/>
        <family val="2"/>
      </rPr>
      <t>م</t>
    </r>
  </si>
  <si>
    <t>16,19</t>
  </si>
  <si>
    <t>cash_flows</t>
  </si>
  <si>
    <t>قائمة التدفقات النقدية الموحدة</t>
  </si>
  <si>
    <t>12,13</t>
  </si>
  <si>
    <t>التدفقات النقدية من الأنشطة التشغيلية</t>
  </si>
  <si>
    <r>
      <rPr>
        <sz val="11"/>
        <color theme="1"/>
        <rFont val="Noto Sans"/>
        <family val="2"/>
      </rPr>
      <t xml:space="preserve">الربح </t>
    </r>
    <r>
      <rPr>
        <sz val="11"/>
        <color theme="1"/>
        <rFont val="Calibri"/>
        <family val="2"/>
        <charset val="1"/>
      </rPr>
      <t>/</t>
    </r>
    <r>
      <rPr>
        <sz val="11"/>
        <color theme="1"/>
        <rFont val="Noto Sans"/>
        <family val="2"/>
      </rPr>
      <t>الخسارة قبل الزكاة وضريبة الدخل</t>
    </r>
  </si>
  <si>
    <r>
      <rPr>
        <sz val="11"/>
        <color theme="1"/>
        <rFont val="Noto Sans"/>
        <family val="2"/>
      </rPr>
      <t xml:space="preserve">تسويات لبنود غير نقدية لمعالجة الربح </t>
    </r>
    <r>
      <rPr>
        <sz val="11"/>
        <color theme="1"/>
        <rFont val="Calibri"/>
        <family val="2"/>
        <charset val="1"/>
      </rPr>
      <t>/ (</t>
    </r>
    <r>
      <rPr>
        <sz val="11"/>
        <color theme="1"/>
        <rFont val="Noto Sans"/>
        <family val="2"/>
      </rPr>
      <t>الخسارة</t>
    </r>
    <r>
      <rPr>
        <sz val="11"/>
        <color theme="1"/>
        <rFont val="Calibri"/>
        <family val="2"/>
        <charset val="1"/>
      </rPr>
      <t xml:space="preserve">) </t>
    </r>
    <r>
      <rPr>
        <sz val="11"/>
        <color theme="1"/>
        <rFont val="Noto Sans"/>
        <family val="2"/>
      </rPr>
      <t>قبل الزكاة وضريبة الدخل</t>
    </r>
  </si>
  <si>
    <t>استهلاك ممتلكات وآلات ومعدات</t>
  </si>
  <si>
    <t>إطفاء موجودات غير ملموسة</t>
  </si>
  <si>
    <t>استهلاك موجودات حق الاستخدام</t>
  </si>
  <si>
    <t>خسائر الهبوط في قيمة ممتلكات وآلات ومعدات</t>
  </si>
  <si>
    <t>أرباح بيع ممتلكات وآلات ومعدات</t>
  </si>
  <si>
    <t>أرباح من أدوات مالية مشتقة بالقيمة العادلة من خلال الأرباح والخسائر</t>
  </si>
  <si>
    <t>مخصص خسائر ائتمانية متوقعة</t>
  </si>
  <si>
    <t>مخصص بضاعة بطيئة الحركة</t>
  </si>
  <si>
    <t>مخصص مطالبات</t>
  </si>
  <si>
    <t>المستخدم من المخصصات</t>
  </si>
  <si>
    <t>تكلفة تمويل ، صافي</t>
  </si>
  <si>
    <t>مخصصات انتفى الغرض منها</t>
  </si>
  <si>
    <t>11,13,14,15,16,17,18,19,20,21,22,23,24,25,26</t>
  </si>
  <si>
    <t>التغيرات في بنود رأس المال العامل</t>
  </si>
  <si>
    <t>ذمم دائنة تجارية ومبالغ مستحقة الدفع ومطلوبات متداولة أخرى</t>
  </si>
  <si>
    <t>التدفق النقدي الناتج من رأس المال العامل</t>
  </si>
  <si>
    <t>27,29,30,31</t>
  </si>
  <si>
    <t>زكاة مدفوعة</t>
  </si>
  <si>
    <r>
      <rPr>
        <sz val="10"/>
        <rFont val="Arial"/>
        <family val="2"/>
      </rPr>
      <t>12(</t>
    </r>
    <r>
      <rPr>
        <sz val="10"/>
        <rFont val="Noto Sans"/>
        <family val="2"/>
      </rPr>
      <t>ج</t>
    </r>
    <r>
      <rPr>
        <sz val="10"/>
        <rFont val="Arial"/>
        <family val="2"/>
      </rPr>
      <t>)</t>
    </r>
  </si>
  <si>
    <t>ضريبة دخل مدفوعة</t>
  </si>
  <si>
    <r>
      <rPr>
        <sz val="10"/>
        <rFont val="Arial"/>
        <family val="2"/>
      </rPr>
      <t>12(</t>
    </r>
    <r>
      <rPr>
        <sz val="10"/>
        <rFont val="Noto Sans"/>
        <family val="2"/>
      </rPr>
      <t>هـ</t>
    </r>
    <r>
      <rPr>
        <sz val="10"/>
        <rFont val="Arial"/>
        <family val="2"/>
      </rPr>
      <t>)</t>
    </r>
  </si>
  <si>
    <t>التزامات منافع محددة مدفوعة للموظفين</t>
  </si>
  <si>
    <t>صافي النقد الناتج في الأنشطة التشغيلية</t>
  </si>
  <si>
    <t>32,33,34,35</t>
  </si>
  <si>
    <t>الأنشطة الاستثمارية</t>
  </si>
  <si>
    <t>شراء ممتلكات وآلات ومعدات</t>
  </si>
  <si>
    <t>شراء موجودات غير ملموسة</t>
  </si>
  <si>
    <t>تكلفة اقتناء استثمارات مالية بالقيمة العادلة من خلال الدخل الشامل</t>
  </si>
  <si>
    <t>المحصل من بيع استثمارات مالية بالقيمة العادلة من خلال الدخل الشامل</t>
  </si>
  <si>
    <t>المحصل من بيع ممتلكات وآلات ومعدات</t>
  </si>
  <si>
    <r>
      <rPr>
        <sz val="11"/>
        <color theme="1"/>
        <rFont val="Noto Sans"/>
        <family val="2"/>
      </rPr>
      <t xml:space="preserve">صافي النقد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"/>
        <family val="2"/>
      </rPr>
      <t>المستخدم في</t>
    </r>
    <r>
      <rPr>
        <sz val="11"/>
        <color theme="1"/>
        <rFont val="Calibri"/>
        <family val="2"/>
        <charset val="1"/>
      </rPr>
      <t xml:space="preserve">) </t>
    </r>
    <r>
      <rPr>
        <sz val="11"/>
        <color theme="1"/>
        <rFont val="Noto Sans"/>
        <family val="2"/>
      </rPr>
      <t>الأنشطة الإستثمارية</t>
    </r>
  </si>
  <si>
    <t>38,39,40,41,42</t>
  </si>
  <si>
    <t>الأنشطة التمويلية</t>
  </si>
  <si>
    <t>متحصلات من عقود مرابحة إسلامية</t>
  </si>
  <si>
    <t>سداد عقود مرابحة إسلامية</t>
  </si>
  <si>
    <t>سداد التزامات عقود إيجار</t>
  </si>
  <si>
    <t>متحصل من عقود المرابحات الاسلامية طويلة الاجل</t>
  </si>
  <si>
    <t>التزامات اعتمادات مستندية</t>
  </si>
  <si>
    <t>سداد تمويل لأجل</t>
  </si>
  <si>
    <t>تكلفة تمويل مدفوعة</t>
  </si>
  <si>
    <r>
      <rPr>
        <sz val="11"/>
        <color theme="1"/>
        <rFont val="Noto Sans"/>
        <family val="2"/>
      </rPr>
      <t xml:space="preserve">صافي النقد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"/>
        <family val="2"/>
      </rPr>
      <t>المستخدم في</t>
    </r>
    <r>
      <rPr>
        <sz val="11"/>
        <color theme="1"/>
        <rFont val="Calibri"/>
        <family val="2"/>
        <charset val="1"/>
      </rPr>
      <t xml:space="preserve">) </t>
    </r>
    <r>
      <rPr>
        <sz val="11"/>
        <color theme="1"/>
        <rFont val="Noto Sans"/>
        <family val="2"/>
      </rPr>
      <t>الأنشطة التمويلية</t>
    </r>
  </si>
  <si>
    <t>45,46,47,48,49,50,51</t>
  </si>
  <si>
    <t>PRINTED: E52 is (21,681,009) on PDF p13. The displayed 2023 financing components sum to -21,651,009 (difference -30,000). Figures re-read from enlarged source; retained as printed.</t>
  </si>
  <si>
    <t>صافي التغير في نقد وما في حكمه</t>
  </si>
  <si>
    <t>36,43,52</t>
  </si>
  <si>
    <t>صافي فروقات ترجمة عملات أجنبية</t>
  </si>
  <si>
    <r>
      <rPr>
        <sz val="11"/>
        <color theme="1"/>
        <rFont val="Noto Sans"/>
        <family val="2"/>
      </rPr>
      <t xml:space="preserve">نقد وما في حكمه كما في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"/>
        <family val="2"/>
      </rPr>
      <t>يناير</t>
    </r>
  </si>
  <si>
    <r>
      <rPr>
        <sz val="11"/>
        <color theme="1"/>
        <rFont val="Noto Sans"/>
        <family val="2"/>
      </rPr>
      <t xml:space="preserve">نقد وما في حكمه كما في </t>
    </r>
    <r>
      <rPr>
        <sz val="11"/>
        <color theme="1"/>
        <rFont val="Calibri"/>
        <family val="2"/>
        <charset val="1"/>
      </rPr>
      <t xml:space="preserve">31 </t>
    </r>
    <r>
      <rPr>
        <sz val="11"/>
        <color theme="1"/>
        <rFont val="Noto Sans"/>
        <family val="2"/>
      </rPr>
      <t>ديسمبر</t>
    </r>
  </si>
  <si>
    <t>53,54,55</t>
  </si>
  <si>
    <t>other</t>
  </si>
  <si>
    <t>أهم المعاملات غير النقدية</t>
  </si>
  <si>
    <t>أثر التغير في فروقات ترجمة عملات أجنبية</t>
  </si>
  <si>
    <t>المحول من ممتلكات وآلات ومعدات إلى استثمارات عقارية</t>
  </si>
  <si>
    <t>مبيعات أصول متاحة للبيع بالخصم من الذمم الدائنة التجارية</t>
  </si>
  <si>
    <t>المحول من ممتلكات وآلات ومعدات إلى موجودات متداولة أخري</t>
  </si>
  <si>
    <t>التغير في الافتراضات الخاصة بالتزامات المنافع المحددة للموظفين</t>
  </si>
  <si>
    <t>تسويات في موجودات والتزامات عقود حق الاستخدام</t>
  </si>
  <si>
    <t>المحول للممتلكات من المشروعات تحت التنفيذ</t>
  </si>
  <si>
    <t>Bushra</t>
  </si>
  <si>
    <t>Abdulaziz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</si>
</sst>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;\(#,##0\);0"/>
    <numFmt numFmtId="165" formatCode="0.00;\(0.00\);0.00"/>
  </numFmts>
  <fonts count="8" x14ac:knownFonts="1">
    <font>
      <sz val="10"/>
      <name val="Arial"/>
      <family val="2"/>
    </font>
    <font>
      <sz val="11"/>
      <color theme="1"/>
      <name val="Calibri"/>
      <family val="2"/>
      <charset val="1"/>
    </font>
    <font>
      <b/>
      <sz val="12"/>
      <name val="Cambria"/>
      <family val="1"/>
    </font>
    <font>
      <sz val="10"/>
      <name val="Noto Sans"/>
      <family val="2"/>
    </font>
    <font>
      <b/>
      <sz val="11"/>
      <color rgb="FFFFFFFF"/>
      <name val="Cambria"/>
      <family val="1"/>
    </font>
    <font>
      <b/>
      <sz val="11"/>
      <name val="Cambria"/>
      <family val="1"/>
    </font>
    <font>
      <sz val="11"/>
      <color theme="1"/>
      <name val="Noto Sans"/>
      <family val="2"/>
    </font>
    <font>
      <b/>
      <sz val="11"/>
      <color rgb="FFFFFFFF"/>
      <name val="Noto Sans"/>
      <family val="2"/>
    </font>
  </fonts>
  <fills count="4">
    <fill>
      <patternFill patternType="none"/>
    </fill>
    <fill>
      <patternFill patternType="gray125"/>
    </fill>
    <fill>
      <patternFill patternType="solid">
        <fgColor rgb="FF464298"/>
        <bgColor rgb="FF666699"/>
      </patternFill>
    </fill>
    <fill>
      <patternFill patternType="solid">
        <fgColor rgb="FFEDEBF7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3">
    <xf numFmtId="0" fontId="0" fillId="0" borderId="0" xfId="0"/>
    <xf numFmtId="0" fontId="2" fillId="0" borderId="0" xfId="1" applyFont="1"/>
    <xf numFmtId="0" fontId="3" fillId="0" borderId="0" xfId="0" applyFont="1"/>
    <xf numFmtId="0" fontId="4" fillId="2" borderId="0" xfId="1" applyFont="1" applyFill="1"/>
    <xf numFmtId="0" fontId="1" fillId="0" borderId="0" xfId="1" applyAlignment="1">
      <alignment wrapText="1"/>
    </xf>
    <xf numFmtId="0" fontId="5" fillId="0" borderId="0" xfId="1" applyFont="1"/>
    <xf numFmtId="0" fontId="1" fillId="3" borderId="0" xfId="1" applyFill="1"/>
    <xf numFmtId="0" fontId="6" fillId="3" borderId="0" xfId="1" applyFont="1" applyFill="1"/>
    <xf numFmtId="0" fontId="4" fillId="2" borderId="0" xfId="1" applyFont="1" applyFill="1" applyAlignment="1">
      <alignment vertical="center" wrapText="1"/>
    </xf>
    <xf numFmtId="0" fontId="6" fillId="0" borderId="0" xfId="1" applyFont="1" applyAlignment="1">
      <alignment wrapText="1"/>
    </xf>
    <xf numFmtId="164" fontId="1" fillId="0" borderId="0" xfId="1" applyNumberFormat="1" applyAlignment="1">
      <alignment horizontal="right"/>
    </xf>
    <xf numFmtId="165" fontId="1" fillId="0" borderId="0" xfId="1" applyNumberFormat="1" applyAlignment="1">
      <alignment horizontal="right"/>
    </xf>
    <xf numFmtId="0" fontId="7" fillId="2" borderId="0" xfId="1" applyFont="1" applyFill="1" applyAlignment="1">
      <alignment vertical="center" wrapText="1"/>
    </xf>
  </cellXfs>
  <cellStyles count="2">
    <cellStyle name="Normal" xfId="0" builtinId="0"/>
    <cellStyle name="Normal 2" xfId="1" xr:uid="{00000000-0005-0000-0000-000006000000}"/>
  </cellStyles>
  <dxfs count="10">
    <dxf>
      <fill>
        <patternFill>
          <bgColor rgb="FFCDEBD3"/>
        </patternFill>
      </fill>
    </dxf>
    <dxf>
      <fill>
        <patternFill>
          <bgColor rgb="FFF4C7C3"/>
        </patternFill>
      </fill>
    </dxf>
    <dxf>
      <fill>
        <patternFill>
          <bgColor rgb="FFCDEBD3"/>
        </patternFill>
      </fill>
    </dxf>
    <dxf>
      <fill>
        <patternFill>
          <bgColor rgb="FFF4C7C3"/>
        </patternFill>
      </fill>
    </dxf>
    <dxf>
      <fill>
        <patternFill>
          <bgColor rgb="FFCDEBD3"/>
        </patternFill>
      </fill>
    </dxf>
    <dxf>
      <fill>
        <patternFill>
          <bgColor rgb="FFF4C7C3"/>
        </patternFill>
      </fill>
    </dxf>
    <dxf>
      <fill>
        <patternFill>
          <bgColor rgb="FFCDEBD3"/>
        </patternFill>
      </fill>
    </dxf>
    <dxf>
      <fill>
        <patternFill>
          <bgColor rgb="FFF4C7C3"/>
        </patternFill>
      </fill>
    </dxf>
    <dxf>
      <fill>
        <patternFill>
          <bgColor rgb="FFCDEBD3"/>
        </patternFill>
      </fill>
    </dxf>
    <dxf>
      <fill>
        <patternFill>
          <bgColor rgb="FFF4C7C3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DEBF7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DEBD3"/>
      <rgbColor rgb="FFFFFF99"/>
      <rgbColor rgb="FF99CCFF"/>
      <rgbColor rgb="FFFF99CC"/>
      <rgbColor rgb="FFCC99FF"/>
      <rgbColor rgb="FFF4C7C3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46429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5"/>
  <sheetViews>
    <sheetView zoomScaleNormal="100" workbookViewId="0"/>
  </sheetViews>
  <sheetFormatPr baseColWidth="10" defaultColWidth="8.6640625" defaultRowHeight="13" x14ac:dyDescent="0.15"/>
  <cols>
    <col min="1" max="1" width="125" customWidth="1"/>
  </cols>
  <sheetData>
    <row r="1" spans="1:1" ht="16" x14ac:dyDescent="0.2">
      <c r="A1" s="1" t="s">
        <v>0</v>
      </c>
    </row>
    <row r="2" spans="1:1" ht="14" x14ac:dyDescent="0.2">
      <c r="A2" s="2" t="s">
        <v>1</v>
      </c>
    </row>
    <row r="4" spans="1:1" x14ac:dyDescent="0.15">
      <c r="A4" t="s">
        <v>2</v>
      </c>
    </row>
    <row r="5" spans="1:1" x14ac:dyDescent="0.15">
      <c r="A5" t="s">
        <v>3</v>
      </c>
    </row>
    <row r="6" spans="1:1" x14ac:dyDescent="0.15">
      <c r="A6" t="s">
        <v>4</v>
      </c>
    </row>
    <row r="7" spans="1:1" x14ac:dyDescent="0.15">
      <c r="A7" t="s">
        <v>5</v>
      </c>
    </row>
    <row r="8" spans="1:1" x14ac:dyDescent="0.15">
      <c r="A8" t="s">
        <v>6</v>
      </c>
    </row>
    <row r="9" spans="1:1" x14ac:dyDescent="0.15">
      <c r="A9" t="s">
        <v>7</v>
      </c>
    </row>
    <row r="10" spans="1:1" x14ac:dyDescent="0.15">
      <c r="A10" t="s">
        <v>8</v>
      </c>
    </row>
    <row r="11" spans="1:1" x14ac:dyDescent="0.15">
      <c r="A11" t="s">
        <v>9</v>
      </c>
    </row>
    <row r="12" spans="1:1" x14ac:dyDescent="0.15">
      <c r="A12" t="s">
        <v>10</v>
      </c>
    </row>
    <row r="13" spans="1:1" x14ac:dyDescent="0.15">
      <c r="A13" t="s">
        <v>11</v>
      </c>
    </row>
    <row r="14" spans="1:1" x14ac:dyDescent="0.15">
      <c r="A14" t="s">
        <v>12</v>
      </c>
    </row>
    <row r="15" spans="1:1" x14ac:dyDescent="0.15">
      <c r="A15" t="s">
        <v>13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2"/>
  <sheetViews>
    <sheetView tabSelected="1" zoomScaleNormal="100" workbookViewId="0">
      <selection activeCell="A12" sqref="A12:B12"/>
    </sheetView>
  </sheetViews>
  <sheetFormatPr baseColWidth="10" defaultColWidth="8.6640625" defaultRowHeight="13" x14ac:dyDescent="0.15"/>
  <cols>
    <col min="1" max="1" width="16" customWidth="1"/>
    <col min="2" max="2" width="70" customWidth="1"/>
    <col min="3" max="3" width="44" customWidth="1"/>
  </cols>
  <sheetData>
    <row r="1" spans="1:3" ht="14" x14ac:dyDescent="0.15">
      <c r="A1" s="3" t="s">
        <v>14</v>
      </c>
      <c r="B1" s="3" t="s">
        <v>15</v>
      </c>
      <c r="C1" s="3" t="s">
        <v>16</v>
      </c>
    </row>
    <row r="2" spans="1:3" x14ac:dyDescent="0.15">
      <c r="A2" t="s">
        <v>17</v>
      </c>
      <c r="B2" t="s">
        <v>18</v>
      </c>
      <c r="C2" t="s">
        <v>19</v>
      </c>
    </row>
    <row r="3" spans="1:3" x14ac:dyDescent="0.15">
      <c r="A3" t="s">
        <v>20</v>
      </c>
      <c r="B3" t="s">
        <v>21</v>
      </c>
    </row>
    <row r="4" spans="1:3" x14ac:dyDescent="0.15">
      <c r="A4" t="s">
        <v>22</v>
      </c>
      <c r="B4" t="s">
        <v>23</v>
      </c>
    </row>
    <row r="5" spans="1:3" x14ac:dyDescent="0.15">
      <c r="A5" t="s">
        <v>24</v>
      </c>
      <c r="B5" t="s">
        <v>25</v>
      </c>
      <c r="C5" t="s">
        <v>26</v>
      </c>
    </row>
    <row r="6" spans="1:3" x14ac:dyDescent="0.15">
      <c r="A6" t="s">
        <v>27</v>
      </c>
      <c r="B6" t="s">
        <v>28</v>
      </c>
      <c r="C6" t="s">
        <v>29</v>
      </c>
    </row>
    <row r="7" spans="1:3" x14ac:dyDescent="0.15">
      <c r="A7" t="s">
        <v>30</v>
      </c>
      <c r="B7" t="s">
        <v>31</v>
      </c>
      <c r="C7" t="s">
        <v>32</v>
      </c>
    </row>
    <row r="8" spans="1:3" x14ac:dyDescent="0.15">
      <c r="A8" t="s">
        <v>33</v>
      </c>
      <c r="B8" t="s">
        <v>34</v>
      </c>
      <c r="C8" t="s">
        <v>35</v>
      </c>
    </row>
    <row r="9" spans="1:3" x14ac:dyDescent="0.15">
      <c r="A9" t="s">
        <v>36</v>
      </c>
      <c r="B9" t="s">
        <v>37</v>
      </c>
      <c r="C9" t="s">
        <v>38</v>
      </c>
    </row>
    <row r="10" spans="1:3" ht="36" customHeight="1" x14ac:dyDescent="0.2">
      <c r="A10" t="s">
        <v>39</v>
      </c>
      <c r="B10" s="4" t="s">
        <v>263</v>
      </c>
      <c r="C10" t="s">
        <v>40</v>
      </c>
    </row>
    <row r="11" spans="1:3" ht="16" x14ac:dyDescent="0.2">
      <c r="A11" t="s">
        <v>41</v>
      </c>
      <c r="B11" s="4" t="s">
        <v>264</v>
      </c>
      <c r="C11" t="s">
        <v>42</v>
      </c>
    </row>
    <row r="12" spans="1:3" ht="84" customHeight="1" x14ac:dyDescent="0.2">
      <c r="B12" s="4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209"/>
  <sheetViews>
    <sheetView zoomScaleNormal="100" workbookViewId="0">
      <pane xSplit="3" ySplit="9" topLeftCell="D10" activePane="bottomRight" state="frozen"/>
      <selection pane="topRight" activeCell="D1" sqref="D1"/>
      <selection pane="bottomLeft" activeCell="A10" sqref="A10"/>
      <selection pane="bottomRight"/>
    </sheetView>
  </sheetViews>
  <sheetFormatPr baseColWidth="10" defaultColWidth="8.6640625" defaultRowHeight="13" x14ac:dyDescent="0.15"/>
  <cols>
    <col min="1" max="1" width="10" customWidth="1"/>
    <col min="2" max="2" width="52" customWidth="1"/>
    <col min="3" max="3" width="9" customWidth="1"/>
    <col min="4" max="17" width="16" customWidth="1"/>
    <col min="18" max="18" width="14" customWidth="1"/>
    <col min="19" max="19" width="7" customWidth="1"/>
    <col min="20" max="20" width="30" customWidth="1"/>
  </cols>
  <sheetData>
    <row r="1" spans="1:20" ht="15" x14ac:dyDescent="0.2">
      <c r="A1" s="5" t="s">
        <v>44</v>
      </c>
      <c r="B1" s="6" t="s">
        <v>45</v>
      </c>
    </row>
    <row r="2" spans="1:20" ht="15" x14ac:dyDescent="0.2">
      <c r="A2" s="5" t="s">
        <v>46</v>
      </c>
      <c r="B2" s="7" t="s">
        <v>47</v>
      </c>
    </row>
    <row r="3" spans="1:20" ht="15" x14ac:dyDescent="0.2">
      <c r="A3" s="5" t="s">
        <v>48</v>
      </c>
      <c r="B3" s="6" t="s">
        <v>49</v>
      </c>
      <c r="C3" t="s">
        <v>50</v>
      </c>
    </row>
    <row r="4" spans="1:20" ht="15" x14ac:dyDescent="0.2">
      <c r="A4" s="5" t="s">
        <v>51</v>
      </c>
      <c r="B4" s="6" t="s">
        <v>52</v>
      </c>
    </row>
    <row r="5" spans="1:20" ht="15" x14ac:dyDescent="0.2">
      <c r="A5" s="5" t="s">
        <v>53</v>
      </c>
      <c r="B5" s="6">
        <v>1</v>
      </c>
      <c r="C5" t="s">
        <v>54</v>
      </c>
    </row>
    <row r="7" spans="1:20" ht="15" customHeight="1" x14ac:dyDescent="0.15">
      <c r="A7" s="8" t="s">
        <v>55</v>
      </c>
      <c r="B7" s="8" t="s">
        <v>56</v>
      </c>
      <c r="C7" s="8" t="s">
        <v>57</v>
      </c>
      <c r="D7" s="8" t="s">
        <v>58</v>
      </c>
      <c r="E7" s="8" t="s">
        <v>59</v>
      </c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 t="s">
        <v>60</v>
      </c>
      <c r="S7" s="8" t="s">
        <v>61</v>
      </c>
      <c r="T7" s="8" t="s">
        <v>43</v>
      </c>
    </row>
    <row r="8" spans="1:20" ht="15" customHeight="1" x14ac:dyDescent="0.2">
      <c r="C8" t="s">
        <v>62</v>
      </c>
      <c r="D8" s="6" t="s">
        <v>28</v>
      </c>
      <c r="E8" s="6" t="s">
        <v>63</v>
      </c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</row>
    <row r="9" spans="1:20" ht="15" customHeight="1" x14ac:dyDescent="0.2">
      <c r="C9" t="s">
        <v>64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</row>
    <row r="10" spans="1:20" ht="15" customHeight="1" x14ac:dyDescent="0.2">
      <c r="A10" t="s">
        <v>65</v>
      </c>
      <c r="B10" s="9" t="s">
        <v>66</v>
      </c>
      <c r="C10" t="s">
        <v>67</v>
      </c>
      <c r="D10" s="10">
        <v>969055854</v>
      </c>
      <c r="E10" s="10">
        <v>882721622</v>
      </c>
      <c r="S10" t="str">
        <f t="shared" ref="S10:S41" ca="1" si="0">IF($R10="","",IF(AND(IF(OR(ISNUMBER(D10),D10="-"),ABS(N(D10)-(IF(ISNUMBER(SEARCH(":",SUBSTITUTE($R10," ",""))),SUM(INDIRECT("D"&amp;LEFT(SUBSTITUTE($R10," ",""),SEARCH(":",SUBSTITUTE($R10," ",""))-1)&amp;":D"&amp;MID(SUBSTITUTE($R10," ",""),SEARCH(":",SUBSTITUTE($R10," ",""))+1,10))),SUMPRODUCT(--ISNUMBER(SEARCH(","&amp;ROW(D$10:D$209)&amp;",",","&amp;SUBSTITUTE($R10," ","")&amp;",")),D$10:D$209)-SUMPRODUCT(--ISNUMBER(SEARCH(",-"&amp;ROW(D$10:D$209)&amp;",",","&amp;SUBSTITUTE($R10," ","")&amp;",")),D$10:D$209))))&lt;=1,TRUE()),IF(OR(ISNUMBER(E10),E10="-"),ABS(N(E10)-(IF(ISNUMBER(SEARCH(":",SUBSTITUTE($R10," ",""))),SUM(INDIRECT("E"&amp;LEFT(SUBSTITUTE($R10," ",""),SEARCH(":",SUBSTITUTE($R10," ",""))-1)&amp;":E"&amp;MID(SUBSTITUTE($R10," ",""),SEARCH(":",SUBSTITUTE($R10," ",""))+1,10))),SUMPRODUCT(--ISNUMBER(SEARCH(","&amp;ROW(E$10:E$209)&amp;",",","&amp;SUBSTITUTE($R10," ","")&amp;",")),E$10:E$209)-SUMPRODUCT(--ISNUMBER(SEARCH(",-"&amp;ROW(E$10:E$209)&amp;",",","&amp;SUBSTITUTE($R10," ","")&amp;",")),E$10:E$209))))&lt;=1,TRUE())),"✓","✗"))</f>
        <v/>
      </c>
    </row>
    <row r="11" spans="1:20" ht="15" customHeight="1" x14ac:dyDescent="0.2">
      <c r="A11" t="s">
        <v>65</v>
      </c>
      <c r="B11" s="9" t="s">
        <v>68</v>
      </c>
      <c r="C11" t="s">
        <v>69</v>
      </c>
      <c r="D11" s="10">
        <v>-679932849</v>
      </c>
      <c r="E11" s="10">
        <v>-711683534</v>
      </c>
      <c r="S11" t="str">
        <f t="shared" ca="1" si="0"/>
        <v/>
      </c>
    </row>
    <row r="12" spans="1:20" ht="15" customHeight="1" x14ac:dyDescent="0.2">
      <c r="A12" t="s">
        <v>70</v>
      </c>
      <c r="B12" s="9" t="s">
        <v>71</v>
      </c>
      <c r="D12" s="10">
        <v>289123005</v>
      </c>
      <c r="E12" s="10">
        <v>171038088</v>
      </c>
      <c r="R12" t="s">
        <v>72</v>
      </c>
      <c r="S12" t="str">
        <f t="shared" ca="1" si="0"/>
        <v>✓</v>
      </c>
    </row>
    <row r="13" spans="1:20" ht="15" customHeight="1" x14ac:dyDescent="0.2">
      <c r="A13" t="s">
        <v>65</v>
      </c>
      <c r="B13" s="9" t="s">
        <v>73</v>
      </c>
      <c r="C13" t="s">
        <v>74</v>
      </c>
      <c r="D13" s="10">
        <v>-120742641</v>
      </c>
      <c r="E13" s="10">
        <v>-151853461</v>
      </c>
      <c r="S13" t="str">
        <f t="shared" ca="1" si="0"/>
        <v/>
      </c>
    </row>
    <row r="14" spans="1:20" ht="15" customHeight="1" x14ac:dyDescent="0.2">
      <c r="A14" t="s">
        <v>65</v>
      </c>
      <c r="B14" s="9" t="s">
        <v>75</v>
      </c>
      <c r="C14" t="s">
        <v>76</v>
      </c>
      <c r="D14" s="10">
        <v>-61179513</v>
      </c>
      <c r="E14" s="10">
        <v>-75875257</v>
      </c>
      <c r="S14" t="str">
        <f t="shared" ca="1" si="0"/>
        <v/>
      </c>
    </row>
    <row r="15" spans="1:20" ht="15" customHeight="1" x14ac:dyDescent="0.2">
      <c r="A15" t="s">
        <v>65</v>
      </c>
      <c r="B15" s="9" t="s">
        <v>77</v>
      </c>
      <c r="C15" t="s">
        <v>49</v>
      </c>
      <c r="D15" s="10">
        <v>9507902</v>
      </c>
      <c r="E15" s="10">
        <v>4150990</v>
      </c>
      <c r="S15" t="str">
        <f t="shared" ca="1" si="0"/>
        <v/>
      </c>
    </row>
    <row r="16" spans="1:20" ht="15" customHeight="1" x14ac:dyDescent="0.2">
      <c r="A16" t="s">
        <v>65</v>
      </c>
      <c r="B16" s="9" t="s">
        <v>78</v>
      </c>
      <c r="C16" t="s">
        <v>79</v>
      </c>
      <c r="D16" s="10" t="s">
        <v>80</v>
      </c>
      <c r="E16" s="10">
        <v>-3745426</v>
      </c>
      <c r="S16" t="str">
        <f t="shared" ca="1" si="0"/>
        <v/>
      </c>
    </row>
    <row r="17" spans="1:19" ht="15" customHeight="1" x14ac:dyDescent="0.2">
      <c r="A17" t="s">
        <v>70</v>
      </c>
      <c r="B17" s="9" t="s">
        <v>81</v>
      </c>
      <c r="D17" s="10">
        <v>116708753</v>
      </c>
      <c r="E17" s="10">
        <v>-56285066</v>
      </c>
      <c r="R17" t="s">
        <v>82</v>
      </c>
      <c r="S17" t="str">
        <f t="shared" ca="1" si="0"/>
        <v>✓</v>
      </c>
    </row>
    <row r="18" spans="1:19" ht="15" customHeight="1" x14ac:dyDescent="0.2">
      <c r="A18" t="s">
        <v>65</v>
      </c>
      <c r="B18" s="9" t="s">
        <v>83</v>
      </c>
      <c r="C18" t="s">
        <v>84</v>
      </c>
      <c r="D18" s="10">
        <v>-28768613</v>
      </c>
      <c r="E18" s="10">
        <v>-22832921</v>
      </c>
      <c r="S18" t="str">
        <f t="shared" ca="1" si="0"/>
        <v/>
      </c>
    </row>
    <row r="19" spans="1:19" ht="15" customHeight="1" x14ac:dyDescent="0.2">
      <c r="A19" t="s">
        <v>65</v>
      </c>
      <c r="B19" s="9" t="s">
        <v>85</v>
      </c>
      <c r="C19" t="s">
        <v>86</v>
      </c>
      <c r="D19" s="10" t="s">
        <v>80</v>
      </c>
      <c r="E19" s="10">
        <v>-324693</v>
      </c>
      <c r="S19" t="str">
        <f t="shared" ca="1" si="0"/>
        <v/>
      </c>
    </row>
    <row r="20" spans="1:19" ht="15" customHeight="1" x14ac:dyDescent="0.2">
      <c r="A20" t="s">
        <v>65</v>
      </c>
      <c r="B20" s="9" t="s">
        <v>87</v>
      </c>
      <c r="D20" s="10" t="s">
        <v>80</v>
      </c>
      <c r="E20" s="10">
        <v>40166</v>
      </c>
      <c r="S20" t="str">
        <f t="shared" ca="1" si="0"/>
        <v/>
      </c>
    </row>
    <row r="21" spans="1:19" ht="15" customHeight="1" x14ac:dyDescent="0.2">
      <c r="A21" t="s">
        <v>65</v>
      </c>
      <c r="B21" s="4" t="s">
        <v>88</v>
      </c>
      <c r="D21" s="10">
        <v>-26183850</v>
      </c>
      <c r="E21" s="10">
        <v>303024</v>
      </c>
      <c r="S21" t="str">
        <f t="shared" ca="1" si="0"/>
        <v/>
      </c>
    </row>
    <row r="22" spans="1:19" ht="15" customHeight="1" x14ac:dyDescent="0.2">
      <c r="A22" t="s">
        <v>70</v>
      </c>
      <c r="B22" s="9" t="s">
        <v>89</v>
      </c>
      <c r="D22" s="10">
        <v>61756290</v>
      </c>
      <c r="E22" s="10">
        <v>-79099490</v>
      </c>
      <c r="R22" t="s">
        <v>90</v>
      </c>
      <c r="S22" t="str">
        <f t="shared" ca="1" si="0"/>
        <v>✓</v>
      </c>
    </row>
    <row r="23" spans="1:19" ht="15" customHeight="1" x14ac:dyDescent="0.2">
      <c r="A23" t="s">
        <v>65</v>
      </c>
      <c r="B23" s="9" t="s">
        <v>91</v>
      </c>
      <c r="C23" t="s">
        <v>92</v>
      </c>
      <c r="D23" s="10">
        <v>-4701678</v>
      </c>
      <c r="E23" s="10">
        <v>-1333139</v>
      </c>
      <c r="S23" t="str">
        <f t="shared" ca="1" si="0"/>
        <v/>
      </c>
    </row>
    <row r="24" spans="1:19" ht="15" customHeight="1" x14ac:dyDescent="0.2">
      <c r="A24" t="s">
        <v>65</v>
      </c>
      <c r="B24" s="9" t="s">
        <v>93</v>
      </c>
      <c r="C24" t="s">
        <v>94</v>
      </c>
      <c r="D24" s="10">
        <v>-12387308</v>
      </c>
      <c r="E24" s="10">
        <v>-17578703</v>
      </c>
      <c r="S24" t="str">
        <f t="shared" ca="1" si="0"/>
        <v/>
      </c>
    </row>
    <row r="25" spans="1:19" ht="15" customHeight="1" x14ac:dyDescent="0.2">
      <c r="A25" t="s">
        <v>95</v>
      </c>
      <c r="B25" s="9" t="s">
        <v>96</v>
      </c>
      <c r="D25" s="10">
        <v>44667304</v>
      </c>
      <c r="E25" s="10">
        <v>-98011332</v>
      </c>
      <c r="R25" t="s">
        <v>97</v>
      </c>
      <c r="S25" t="str">
        <f t="shared" ca="1" si="0"/>
        <v>✓</v>
      </c>
    </row>
    <row r="26" spans="1:19" ht="15" customHeight="1" x14ac:dyDescent="0.2">
      <c r="A26" t="s">
        <v>98</v>
      </c>
      <c r="B26" s="9" t="s">
        <v>99</v>
      </c>
      <c r="D26" s="10"/>
      <c r="E26" s="10"/>
      <c r="S26" t="str">
        <f t="shared" ca="1" si="0"/>
        <v/>
      </c>
    </row>
    <row r="27" spans="1:19" ht="15" customHeight="1" x14ac:dyDescent="0.2">
      <c r="A27" t="s">
        <v>98</v>
      </c>
      <c r="B27" s="9" t="s">
        <v>100</v>
      </c>
      <c r="D27" s="10"/>
      <c r="E27" s="10"/>
      <c r="S27" t="str">
        <f t="shared" ca="1" si="0"/>
        <v/>
      </c>
    </row>
    <row r="28" spans="1:19" ht="15" customHeight="1" x14ac:dyDescent="0.2">
      <c r="A28" t="s">
        <v>65</v>
      </c>
      <c r="B28" s="9" t="s">
        <v>101</v>
      </c>
      <c r="C28" t="s">
        <v>102</v>
      </c>
      <c r="D28" s="10">
        <v>-62720925</v>
      </c>
      <c r="E28" s="10">
        <v>-27365779</v>
      </c>
      <c r="S28" t="str">
        <f t="shared" ca="1" si="0"/>
        <v/>
      </c>
    </row>
    <row r="29" spans="1:19" ht="15" customHeight="1" x14ac:dyDescent="0.2">
      <c r="A29" t="s">
        <v>98</v>
      </c>
      <c r="B29" s="9" t="s">
        <v>103</v>
      </c>
      <c r="D29" s="10"/>
      <c r="E29" s="10"/>
      <c r="S29" t="str">
        <f t="shared" ca="1" si="0"/>
        <v/>
      </c>
    </row>
    <row r="30" spans="1:19" ht="15" customHeight="1" x14ac:dyDescent="0.2">
      <c r="A30" t="s">
        <v>65</v>
      </c>
      <c r="B30" s="9" t="s">
        <v>104</v>
      </c>
      <c r="C30" t="s">
        <v>102</v>
      </c>
      <c r="D30" s="10">
        <v>812800</v>
      </c>
      <c r="E30" s="10">
        <v>-1458500</v>
      </c>
      <c r="S30" t="str">
        <f t="shared" ca="1" si="0"/>
        <v/>
      </c>
    </row>
    <row r="31" spans="1:19" ht="15" customHeight="1" x14ac:dyDescent="0.2">
      <c r="A31" t="s">
        <v>70</v>
      </c>
      <c r="B31" s="9" t="s">
        <v>105</v>
      </c>
      <c r="D31" s="10">
        <v>-61908125</v>
      </c>
      <c r="E31" s="10">
        <v>-28824279</v>
      </c>
      <c r="R31" t="s">
        <v>106</v>
      </c>
      <c r="S31" t="str">
        <f t="shared" ca="1" si="0"/>
        <v>✓</v>
      </c>
    </row>
    <row r="32" spans="1:19" ht="15" customHeight="1" x14ac:dyDescent="0.2">
      <c r="A32" t="s">
        <v>95</v>
      </c>
      <c r="B32" s="9" t="s">
        <v>107</v>
      </c>
      <c r="D32" s="10">
        <v>-17240821</v>
      </c>
      <c r="E32" s="10">
        <v>-126835611</v>
      </c>
      <c r="R32" t="s">
        <v>108</v>
      </c>
      <c r="S32" t="str">
        <f t="shared" ca="1" si="0"/>
        <v>✓</v>
      </c>
    </row>
    <row r="33" spans="1:20" ht="15" customHeight="1" x14ac:dyDescent="0.2">
      <c r="A33" t="s">
        <v>98</v>
      </c>
      <c r="B33" s="9" t="s">
        <v>109</v>
      </c>
      <c r="D33" s="10"/>
      <c r="E33" s="10"/>
      <c r="S33" t="str">
        <f t="shared" ca="1" si="0"/>
        <v/>
      </c>
    </row>
    <row r="34" spans="1:20" ht="26.5" customHeight="1" x14ac:dyDescent="0.2">
      <c r="A34" t="s">
        <v>65</v>
      </c>
      <c r="B34" s="9" t="s">
        <v>110</v>
      </c>
      <c r="C34" t="s">
        <v>111</v>
      </c>
      <c r="D34" s="11">
        <v>3.3</v>
      </c>
      <c r="E34" s="11">
        <v>-1.59</v>
      </c>
      <c r="S34" t="str">
        <f t="shared" ca="1" si="0"/>
        <v/>
      </c>
      <c r="T34" s="4" t="s">
        <v>112</v>
      </c>
    </row>
    <row r="35" spans="1:20" ht="26.5" customHeight="1" x14ac:dyDescent="0.2">
      <c r="A35" t="s">
        <v>65</v>
      </c>
      <c r="B35" s="9" t="s">
        <v>113</v>
      </c>
      <c r="C35" t="s">
        <v>111</v>
      </c>
      <c r="D35" s="11">
        <v>1.26</v>
      </c>
      <c r="E35" s="11">
        <v>-2.77</v>
      </c>
      <c r="S35" t="str">
        <f t="shared" ca="1" si="0"/>
        <v/>
      </c>
      <c r="T35" s="4" t="s">
        <v>112</v>
      </c>
    </row>
    <row r="36" spans="1:20" x14ac:dyDescent="0.15">
      <c r="S36" t="str">
        <f t="shared" ca="1" si="0"/>
        <v/>
      </c>
    </row>
    <row r="37" spans="1:20" x14ac:dyDescent="0.15">
      <c r="S37" t="str">
        <f t="shared" ca="1" si="0"/>
        <v/>
      </c>
    </row>
    <row r="38" spans="1:20" x14ac:dyDescent="0.15">
      <c r="S38" t="str">
        <f t="shared" ca="1" si="0"/>
        <v/>
      </c>
    </row>
    <row r="39" spans="1:20" x14ac:dyDescent="0.15">
      <c r="S39" t="str">
        <f t="shared" ca="1" si="0"/>
        <v/>
      </c>
    </row>
    <row r="40" spans="1:20" x14ac:dyDescent="0.15">
      <c r="S40" t="str">
        <f t="shared" ca="1" si="0"/>
        <v/>
      </c>
    </row>
    <row r="41" spans="1:20" x14ac:dyDescent="0.15">
      <c r="S41" t="str">
        <f t="shared" ca="1" si="0"/>
        <v/>
      </c>
    </row>
    <row r="42" spans="1:20" x14ac:dyDescent="0.15">
      <c r="S42" t="str">
        <f t="shared" ref="S42:S73" ca="1" si="1">IF($R42="","",IF(AND(IF(OR(ISNUMBER(D42),D42="-"),ABS(N(D42)-(IF(ISNUMBER(SEARCH(":",SUBSTITUTE($R42," ",""))),SUM(INDIRECT("D"&amp;LEFT(SUBSTITUTE($R42," ",""),SEARCH(":",SUBSTITUTE($R42," ",""))-1)&amp;":D"&amp;MID(SUBSTITUTE($R42," ",""),SEARCH(":",SUBSTITUTE($R42," ",""))+1,10))),SUMPRODUCT(--ISNUMBER(SEARCH(","&amp;ROW(D$10:D$209)&amp;",",","&amp;SUBSTITUTE($R42," ","")&amp;",")),D$10:D$209)-SUMPRODUCT(--ISNUMBER(SEARCH(",-"&amp;ROW(D$10:D$209)&amp;",",","&amp;SUBSTITUTE($R42," ","")&amp;",")),D$10:D$209))))&lt;=1,TRUE()),IF(OR(ISNUMBER(E42),E42="-"),ABS(N(E42)-(IF(ISNUMBER(SEARCH(":",SUBSTITUTE($R42," ",""))),SUM(INDIRECT("E"&amp;LEFT(SUBSTITUTE($R42," ",""),SEARCH(":",SUBSTITUTE($R42," ",""))-1)&amp;":E"&amp;MID(SUBSTITUTE($R42," ",""),SEARCH(":",SUBSTITUTE($R42," ",""))+1,10))),SUMPRODUCT(--ISNUMBER(SEARCH(","&amp;ROW(E$10:E$209)&amp;",",","&amp;SUBSTITUTE($R42," ","")&amp;",")),E$10:E$209)-SUMPRODUCT(--ISNUMBER(SEARCH(",-"&amp;ROW(E$10:E$209)&amp;",",","&amp;SUBSTITUTE($R42," ","")&amp;",")),E$10:E$209))))&lt;=1,TRUE())),"✓","✗"))</f>
        <v/>
      </c>
    </row>
    <row r="43" spans="1:20" x14ac:dyDescent="0.15">
      <c r="S43" t="str">
        <f t="shared" ca="1" si="1"/>
        <v/>
      </c>
    </row>
    <row r="44" spans="1:20" x14ac:dyDescent="0.15">
      <c r="S44" t="str">
        <f t="shared" ca="1" si="1"/>
        <v/>
      </c>
    </row>
    <row r="45" spans="1:20" x14ac:dyDescent="0.15">
      <c r="S45" t="str">
        <f t="shared" ca="1" si="1"/>
        <v/>
      </c>
    </row>
    <row r="46" spans="1:20" x14ac:dyDescent="0.15">
      <c r="S46" t="str">
        <f t="shared" ca="1" si="1"/>
        <v/>
      </c>
    </row>
    <row r="47" spans="1:20" x14ac:dyDescent="0.15">
      <c r="S47" t="str">
        <f t="shared" ca="1" si="1"/>
        <v/>
      </c>
    </row>
    <row r="48" spans="1:20" x14ac:dyDescent="0.15">
      <c r="S48" t="str">
        <f t="shared" ca="1" si="1"/>
        <v/>
      </c>
    </row>
    <row r="49" spans="19:19" x14ac:dyDescent="0.15">
      <c r="S49" t="str">
        <f t="shared" ca="1" si="1"/>
        <v/>
      </c>
    </row>
    <row r="50" spans="19:19" x14ac:dyDescent="0.15">
      <c r="S50" t="str">
        <f t="shared" ca="1" si="1"/>
        <v/>
      </c>
    </row>
    <row r="51" spans="19:19" x14ac:dyDescent="0.15">
      <c r="S51" t="str">
        <f t="shared" ca="1" si="1"/>
        <v/>
      </c>
    </row>
    <row r="52" spans="19:19" x14ac:dyDescent="0.15">
      <c r="S52" t="str">
        <f t="shared" ca="1" si="1"/>
        <v/>
      </c>
    </row>
    <row r="53" spans="19:19" x14ac:dyDescent="0.15">
      <c r="S53" t="str">
        <f t="shared" ca="1" si="1"/>
        <v/>
      </c>
    </row>
    <row r="54" spans="19:19" x14ac:dyDescent="0.15">
      <c r="S54" t="str">
        <f t="shared" ca="1" si="1"/>
        <v/>
      </c>
    </row>
    <row r="55" spans="19:19" x14ac:dyDescent="0.15">
      <c r="S55" t="str">
        <f t="shared" ca="1" si="1"/>
        <v/>
      </c>
    </row>
    <row r="56" spans="19:19" x14ac:dyDescent="0.15">
      <c r="S56" t="str">
        <f t="shared" ca="1" si="1"/>
        <v/>
      </c>
    </row>
    <row r="57" spans="19:19" x14ac:dyDescent="0.15">
      <c r="S57" t="str">
        <f t="shared" ca="1" si="1"/>
        <v/>
      </c>
    </row>
    <row r="58" spans="19:19" x14ac:dyDescent="0.15">
      <c r="S58" t="str">
        <f t="shared" ca="1" si="1"/>
        <v/>
      </c>
    </row>
    <row r="59" spans="19:19" x14ac:dyDescent="0.15">
      <c r="S59" t="str">
        <f t="shared" ca="1" si="1"/>
        <v/>
      </c>
    </row>
    <row r="60" spans="19:19" x14ac:dyDescent="0.15">
      <c r="S60" t="str">
        <f t="shared" ca="1" si="1"/>
        <v/>
      </c>
    </row>
    <row r="61" spans="19:19" x14ac:dyDescent="0.15">
      <c r="S61" t="str">
        <f t="shared" ca="1" si="1"/>
        <v/>
      </c>
    </row>
    <row r="62" spans="19:19" x14ac:dyDescent="0.15">
      <c r="S62" t="str">
        <f t="shared" ca="1" si="1"/>
        <v/>
      </c>
    </row>
    <row r="63" spans="19:19" x14ac:dyDescent="0.15">
      <c r="S63" t="str">
        <f t="shared" ca="1" si="1"/>
        <v/>
      </c>
    </row>
    <row r="64" spans="19:19" x14ac:dyDescent="0.15">
      <c r="S64" t="str">
        <f t="shared" ca="1" si="1"/>
        <v/>
      </c>
    </row>
    <row r="65" spans="19:19" x14ac:dyDescent="0.15">
      <c r="S65" t="str">
        <f t="shared" ca="1" si="1"/>
        <v/>
      </c>
    </row>
    <row r="66" spans="19:19" x14ac:dyDescent="0.15">
      <c r="S66" t="str">
        <f t="shared" ca="1" si="1"/>
        <v/>
      </c>
    </row>
    <row r="67" spans="19:19" x14ac:dyDescent="0.15">
      <c r="S67" t="str">
        <f t="shared" ca="1" si="1"/>
        <v/>
      </c>
    </row>
    <row r="68" spans="19:19" x14ac:dyDescent="0.15">
      <c r="S68" t="str">
        <f t="shared" ca="1" si="1"/>
        <v/>
      </c>
    </row>
    <row r="69" spans="19:19" x14ac:dyDescent="0.15">
      <c r="S69" t="str">
        <f t="shared" ca="1" si="1"/>
        <v/>
      </c>
    </row>
    <row r="70" spans="19:19" x14ac:dyDescent="0.15">
      <c r="S70" t="str">
        <f t="shared" ca="1" si="1"/>
        <v/>
      </c>
    </row>
    <row r="71" spans="19:19" x14ac:dyDescent="0.15">
      <c r="S71" t="str">
        <f t="shared" ca="1" si="1"/>
        <v/>
      </c>
    </row>
    <row r="72" spans="19:19" x14ac:dyDescent="0.15">
      <c r="S72" t="str">
        <f t="shared" ca="1" si="1"/>
        <v/>
      </c>
    </row>
    <row r="73" spans="19:19" x14ac:dyDescent="0.15">
      <c r="S73" t="str">
        <f t="shared" ca="1" si="1"/>
        <v/>
      </c>
    </row>
    <row r="74" spans="19:19" x14ac:dyDescent="0.15">
      <c r="S74" t="str">
        <f t="shared" ref="S74:S105" ca="1" si="2">IF($R74="","",IF(AND(IF(OR(ISNUMBER(D74),D74="-"),ABS(N(D74)-(IF(ISNUMBER(SEARCH(":",SUBSTITUTE($R74," ",""))),SUM(INDIRECT("D"&amp;LEFT(SUBSTITUTE($R74," ",""),SEARCH(":",SUBSTITUTE($R74," ",""))-1)&amp;":D"&amp;MID(SUBSTITUTE($R74," ",""),SEARCH(":",SUBSTITUTE($R74," ",""))+1,10))),SUMPRODUCT(--ISNUMBER(SEARCH(","&amp;ROW(D$10:D$209)&amp;",",","&amp;SUBSTITUTE($R74," ","")&amp;",")),D$10:D$209)-SUMPRODUCT(--ISNUMBER(SEARCH(",-"&amp;ROW(D$10:D$209)&amp;",",","&amp;SUBSTITUTE($R74," ","")&amp;",")),D$10:D$209))))&lt;=1,TRUE()),IF(OR(ISNUMBER(E74),E74="-"),ABS(N(E74)-(IF(ISNUMBER(SEARCH(":",SUBSTITUTE($R74," ",""))),SUM(INDIRECT("E"&amp;LEFT(SUBSTITUTE($R74," ",""),SEARCH(":",SUBSTITUTE($R74," ",""))-1)&amp;":E"&amp;MID(SUBSTITUTE($R74," ",""),SEARCH(":",SUBSTITUTE($R74," ",""))+1,10))),SUMPRODUCT(--ISNUMBER(SEARCH(","&amp;ROW(E$10:E$209)&amp;",",","&amp;SUBSTITUTE($R74," ","")&amp;",")),E$10:E$209)-SUMPRODUCT(--ISNUMBER(SEARCH(",-"&amp;ROW(E$10:E$209)&amp;",",","&amp;SUBSTITUTE($R74," ","")&amp;",")),E$10:E$209))))&lt;=1,TRUE())),"✓","✗"))</f>
        <v/>
      </c>
    </row>
    <row r="75" spans="19:19" x14ac:dyDescent="0.15">
      <c r="S75" t="str">
        <f t="shared" ca="1" si="2"/>
        <v/>
      </c>
    </row>
    <row r="76" spans="19:19" x14ac:dyDescent="0.15">
      <c r="S76" t="str">
        <f t="shared" ca="1" si="2"/>
        <v/>
      </c>
    </row>
    <row r="77" spans="19:19" x14ac:dyDescent="0.15">
      <c r="S77" t="str">
        <f t="shared" ca="1" si="2"/>
        <v/>
      </c>
    </row>
    <row r="78" spans="19:19" x14ac:dyDescent="0.15">
      <c r="S78" t="str">
        <f t="shared" ca="1" si="2"/>
        <v/>
      </c>
    </row>
    <row r="79" spans="19:19" x14ac:dyDescent="0.15">
      <c r="S79" t="str">
        <f t="shared" ca="1" si="2"/>
        <v/>
      </c>
    </row>
    <row r="80" spans="19:19" x14ac:dyDescent="0.15">
      <c r="S80" t="str">
        <f t="shared" ca="1" si="2"/>
        <v/>
      </c>
    </row>
    <row r="81" spans="19:19" x14ac:dyDescent="0.15">
      <c r="S81" t="str">
        <f t="shared" ca="1" si="2"/>
        <v/>
      </c>
    </row>
    <row r="82" spans="19:19" x14ac:dyDescent="0.15">
      <c r="S82" t="str">
        <f t="shared" ca="1" si="2"/>
        <v/>
      </c>
    </row>
    <row r="83" spans="19:19" x14ac:dyDescent="0.15">
      <c r="S83" t="str">
        <f t="shared" ca="1" si="2"/>
        <v/>
      </c>
    </row>
    <row r="84" spans="19:19" x14ac:dyDescent="0.15">
      <c r="S84" t="str">
        <f t="shared" ca="1" si="2"/>
        <v/>
      </c>
    </row>
    <row r="85" spans="19:19" x14ac:dyDescent="0.15">
      <c r="S85" t="str">
        <f t="shared" ca="1" si="2"/>
        <v/>
      </c>
    </row>
    <row r="86" spans="19:19" x14ac:dyDescent="0.15">
      <c r="S86" t="str">
        <f t="shared" ca="1" si="2"/>
        <v/>
      </c>
    </row>
    <row r="87" spans="19:19" x14ac:dyDescent="0.15">
      <c r="S87" t="str">
        <f t="shared" ca="1" si="2"/>
        <v/>
      </c>
    </row>
    <row r="88" spans="19:19" x14ac:dyDescent="0.15">
      <c r="S88" t="str">
        <f t="shared" ca="1" si="2"/>
        <v/>
      </c>
    </row>
    <row r="89" spans="19:19" x14ac:dyDescent="0.15">
      <c r="S89" t="str">
        <f t="shared" ca="1" si="2"/>
        <v/>
      </c>
    </row>
    <row r="90" spans="19:19" x14ac:dyDescent="0.15">
      <c r="S90" t="str">
        <f t="shared" ca="1" si="2"/>
        <v/>
      </c>
    </row>
    <row r="91" spans="19:19" x14ac:dyDescent="0.15">
      <c r="S91" t="str">
        <f t="shared" ca="1" si="2"/>
        <v/>
      </c>
    </row>
    <row r="92" spans="19:19" x14ac:dyDescent="0.15">
      <c r="S92" t="str">
        <f t="shared" ca="1" si="2"/>
        <v/>
      </c>
    </row>
    <row r="93" spans="19:19" x14ac:dyDescent="0.15">
      <c r="S93" t="str">
        <f t="shared" ca="1" si="2"/>
        <v/>
      </c>
    </row>
    <row r="94" spans="19:19" x14ac:dyDescent="0.15">
      <c r="S94" t="str">
        <f t="shared" ca="1" si="2"/>
        <v/>
      </c>
    </row>
    <row r="95" spans="19:19" x14ac:dyDescent="0.15">
      <c r="S95" t="str">
        <f t="shared" ca="1" si="2"/>
        <v/>
      </c>
    </row>
    <row r="96" spans="19:19" x14ac:dyDescent="0.15">
      <c r="S96" t="str">
        <f t="shared" ca="1" si="2"/>
        <v/>
      </c>
    </row>
    <row r="97" spans="19:19" x14ac:dyDescent="0.15">
      <c r="S97" t="str">
        <f t="shared" ca="1" si="2"/>
        <v/>
      </c>
    </row>
    <row r="98" spans="19:19" x14ac:dyDescent="0.15">
      <c r="S98" t="str">
        <f t="shared" ca="1" si="2"/>
        <v/>
      </c>
    </row>
    <row r="99" spans="19:19" x14ac:dyDescent="0.15">
      <c r="S99" t="str">
        <f t="shared" ca="1" si="2"/>
        <v/>
      </c>
    </row>
    <row r="100" spans="19:19" x14ac:dyDescent="0.15">
      <c r="S100" t="str">
        <f t="shared" ca="1" si="2"/>
        <v/>
      </c>
    </row>
    <row r="101" spans="19:19" x14ac:dyDescent="0.15">
      <c r="S101" t="str">
        <f t="shared" ca="1" si="2"/>
        <v/>
      </c>
    </row>
    <row r="102" spans="19:19" x14ac:dyDescent="0.15">
      <c r="S102" t="str">
        <f t="shared" ca="1" si="2"/>
        <v/>
      </c>
    </row>
    <row r="103" spans="19:19" x14ac:dyDescent="0.15">
      <c r="S103" t="str">
        <f t="shared" ca="1" si="2"/>
        <v/>
      </c>
    </row>
    <row r="104" spans="19:19" x14ac:dyDescent="0.15">
      <c r="S104" t="str">
        <f t="shared" ca="1" si="2"/>
        <v/>
      </c>
    </row>
    <row r="105" spans="19:19" x14ac:dyDescent="0.15">
      <c r="S105" t="str">
        <f t="shared" ca="1" si="2"/>
        <v/>
      </c>
    </row>
    <row r="106" spans="19:19" x14ac:dyDescent="0.15">
      <c r="S106" t="str">
        <f t="shared" ref="S106:S137" ca="1" si="3">IF($R106="","",IF(AND(IF(OR(ISNUMBER(D106),D106="-"),ABS(N(D106)-(IF(ISNUMBER(SEARCH(":",SUBSTITUTE($R106," ",""))),SUM(INDIRECT("D"&amp;LEFT(SUBSTITUTE($R106," ",""),SEARCH(":",SUBSTITUTE($R106," ",""))-1)&amp;":D"&amp;MID(SUBSTITUTE($R106," ",""),SEARCH(":",SUBSTITUTE($R106," ",""))+1,10))),SUMPRODUCT(--ISNUMBER(SEARCH(","&amp;ROW(D$10:D$209)&amp;",",","&amp;SUBSTITUTE($R106," ","")&amp;",")),D$10:D$209)-SUMPRODUCT(--ISNUMBER(SEARCH(",-"&amp;ROW(D$10:D$209)&amp;",",","&amp;SUBSTITUTE($R106," ","")&amp;",")),D$10:D$209))))&lt;=1,TRUE()),IF(OR(ISNUMBER(E106),E106="-"),ABS(N(E106)-(IF(ISNUMBER(SEARCH(":",SUBSTITUTE($R106," ",""))),SUM(INDIRECT("E"&amp;LEFT(SUBSTITUTE($R106," ",""),SEARCH(":",SUBSTITUTE($R106," ",""))-1)&amp;":E"&amp;MID(SUBSTITUTE($R106," ",""),SEARCH(":",SUBSTITUTE($R106," ",""))+1,10))),SUMPRODUCT(--ISNUMBER(SEARCH(","&amp;ROW(E$10:E$209)&amp;",",","&amp;SUBSTITUTE($R106," ","")&amp;",")),E$10:E$209)-SUMPRODUCT(--ISNUMBER(SEARCH(",-"&amp;ROW(E$10:E$209)&amp;",",","&amp;SUBSTITUTE($R106," ","")&amp;",")),E$10:E$209))))&lt;=1,TRUE())),"✓","✗"))</f>
        <v/>
      </c>
    </row>
    <row r="107" spans="19:19" x14ac:dyDescent="0.15">
      <c r="S107" t="str">
        <f t="shared" ca="1" si="3"/>
        <v/>
      </c>
    </row>
    <row r="108" spans="19:19" x14ac:dyDescent="0.15">
      <c r="S108" t="str">
        <f t="shared" ca="1" si="3"/>
        <v/>
      </c>
    </row>
    <row r="109" spans="19:19" x14ac:dyDescent="0.15">
      <c r="S109" t="str">
        <f t="shared" ca="1" si="3"/>
        <v/>
      </c>
    </row>
    <row r="110" spans="19:19" x14ac:dyDescent="0.15">
      <c r="S110" t="str">
        <f t="shared" ca="1" si="3"/>
        <v/>
      </c>
    </row>
    <row r="111" spans="19:19" x14ac:dyDescent="0.15">
      <c r="S111" t="str">
        <f t="shared" ca="1" si="3"/>
        <v/>
      </c>
    </row>
    <row r="112" spans="19:19" x14ac:dyDescent="0.15">
      <c r="S112" t="str">
        <f t="shared" ca="1" si="3"/>
        <v/>
      </c>
    </row>
    <row r="113" spans="19:19" x14ac:dyDescent="0.15">
      <c r="S113" t="str">
        <f t="shared" ca="1" si="3"/>
        <v/>
      </c>
    </row>
    <row r="114" spans="19:19" x14ac:dyDescent="0.15">
      <c r="S114" t="str">
        <f t="shared" ca="1" si="3"/>
        <v/>
      </c>
    </row>
    <row r="115" spans="19:19" x14ac:dyDescent="0.15">
      <c r="S115" t="str">
        <f t="shared" ca="1" si="3"/>
        <v/>
      </c>
    </row>
    <row r="116" spans="19:19" x14ac:dyDescent="0.15">
      <c r="S116" t="str">
        <f t="shared" ca="1" si="3"/>
        <v/>
      </c>
    </row>
    <row r="117" spans="19:19" x14ac:dyDescent="0.15">
      <c r="S117" t="str">
        <f t="shared" ca="1" si="3"/>
        <v/>
      </c>
    </row>
    <row r="118" spans="19:19" x14ac:dyDescent="0.15">
      <c r="S118" t="str">
        <f t="shared" ca="1" si="3"/>
        <v/>
      </c>
    </row>
    <row r="119" spans="19:19" x14ac:dyDescent="0.15">
      <c r="S119" t="str">
        <f t="shared" ca="1" si="3"/>
        <v/>
      </c>
    </row>
    <row r="120" spans="19:19" x14ac:dyDescent="0.15">
      <c r="S120" t="str">
        <f t="shared" ca="1" si="3"/>
        <v/>
      </c>
    </row>
    <row r="121" spans="19:19" x14ac:dyDescent="0.15">
      <c r="S121" t="str">
        <f t="shared" ca="1" si="3"/>
        <v/>
      </c>
    </row>
    <row r="122" spans="19:19" x14ac:dyDescent="0.15">
      <c r="S122" t="str">
        <f t="shared" ca="1" si="3"/>
        <v/>
      </c>
    </row>
    <row r="123" spans="19:19" x14ac:dyDescent="0.15">
      <c r="S123" t="str">
        <f t="shared" ca="1" si="3"/>
        <v/>
      </c>
    </row>
    <row r="124" spans="19:19" x14ac:dyDescent="0.15">
      <c r="S124" t="str">
        <f t="shared" ca="1" si="3"/>
        <v/>
      </c>
    </row>
    <row r="125" spans="19:19" x14ac:dyDescent="0.15">
      <c r="S125" t="str">
        <f t="shared" ca="1" si="3"/>
        <v/>
      </c>
    </row>
    <row r="126" spans="19:19" x14ac:dyDescent="0.15">
      <c r="S126" t="str">
        <f t="shared" ca="1" si="3"/>
        <v/>
      </c>
    </row>
    <row r="127" spans="19:19" x14ac:dyDescent="0.15">
      <c r="S127" t="str">
        <f t="shared" ca="1" si="3"/>
        <v/>
      </c>
    </row>
    <row r="128" spans="19:19" x14ac:dyDescent="0.15">
      <c r="S128" t="str">
        <f t="shared" ca="1" si="3"/>
        <v/>
      </c>
    </row>
    <row r="129" spans="19:19" x14ac:dyDescent="0.15">
      <c r="S129" t="str">
        <f t="shared" ca="1" si="3"/>
        <v/>
      </c>
    </row>
    <row r="130" spans="19:19" x14ac:dyDescent="0.15">
      <c r="S130" t="str">
        <f t="shared" ca="1" si="3"/>
        <v/>
      </c>
    </row>
    <row r="131" spans="19:19" x14ac:dyDescent="0.15">
      <c r="S131" t="str">
        <f t="shared" ca="1" si="3"/>
        <v/>
      </c>
    </row>
    <row r="132" spans="19:19" x14ac:dyDescent="0.15">
      <c r="S132" t="str">
        <f t="shared" ca="1" si="3"/>
        <v/>
      </c>
    </row>
    <row r="133" spans="19:19" x14ac:dyDescent="0.15">
      <c r="S133" t="str">
        <f t="shared" ca="1" si="3"/>
        <v/>
      </c>
    </row>
    <row r="134" spans="19:19" x14ac:dyDescent="0.15">
      <c r="S134" t="str">
        <f t="shared" ca="1" si="3"/>
        <v/>
      </c>
    </row>
    <row r="135" spans="19:19" x14ac:dyDescent="0.15">
      <c r="S135" t="str">
        <f t="shared" ca="1" si="3"/>
        <v/>
      </c>
    </row>
    <row r="136" spans="19:19" x14ac:dyDescent="0.15">
      <c r="S136" t="str">
        <f t="shared" ca="1" si="3"/>
        <v/>
      </c>
    </row>
    <row r="137" spans="19:19" x14ac:dyDescent="0.15">
      <c r="S137" t="str">
        <f t="shared" ca="1" si="3"/>
        <v/>
      </c>
    </row>
    <row r="138" spans="19:19" x14ac:dyDescent="0.15">
      <c r="S138" t="str">
        <f t="shared" ref="S138:S169" ca="1" si="4">IF($R138="","",IF(AND(IF(OR(ISNUMBER(D138),D138="-"),ABS(N(D138)-(IF(ISNUMBER(SEARCH(":",SUBSTITUTE($R138," ",""))),SUM(INDIRECT("D"&amp;LEFT(SUBSTITUTE($R138," ",""),SEARCH(":",SUBSTITUTE($R138," ",""))-1)&amp;":D"&amp;MID(SUBSTITUTE($R138," ",""),SEARCH(":",SUBSTITUTE($R138," ",""))+1,10))),SUMPRODUCT(--ISNUMBER(SEARCH(","&amp;ROW(D$10:D$209)&amp;",",","&amp;SUBSTITUTE($R138," ","")&amp;",")),D$10:D$209)-SUMPRODUCT(--ISNUMBER(SEARCH(",-"&amp;ROW(D$10:D$209)&amp;",",","&amp;SUBSTITUTE($R138," ","")&amp;",")),D$10:D$209))))&lt;=1,TRUE()),IF(OR(ISNUMBER(E138),E138="-"),ABS(N(E138)-(IF(ISNUMBER(SEARCH(":",SUBSTITUTE($R138," ",""))),SUM(INDIRECT("E"&amp;LEFT(SUBSTITUTE($R138," ",""),SEARCH(":",SUBSTITUTE($R138," ",""))-1)&amp;":E"&amp;MID(SUBSTITUTE($R138," ",""),SEARCH(":",SUBSTITUTE($R138," ",""))+1,10))),SUMPRODUCT(--ISNUMBER(SEARCH(","&amp;ROW(E$10:E$209)&amp;",",","&amp;SUBSTITUTE($R138," ","")&amp;",")),E$10:E$209)-SUMPRODUCT(--ISNUMBER(SEARCH(",-"&amp;ROW(E$10:E$209)&amp;",",","&amp;SUBSTITUTE($R138," ","")&amp;",")),E$10:E$209))))&lt;=1,TRUE())),"✓","✗"))</f>
        <v/>
      </c>
    </row>
    <row r="139" spans="19:19" x14ac:dyDescent="0.15">
      <c r="S139" t="str">
        <f t="shared" ca="1" si="4"/>
        <v/>
      </c>
    </row>
    <row r="140" spans="19:19" x14ac:dyDescent="0.15">
      <c r="S140" t="str">
        <f t="shared" ca="1" si="4"/>
        <v/>
      </c>
    </row>
    <row r="141" spans="19:19" x14ac:dyDescent="0.15">
      <c r="S141" t="str">
        <f t="shared" ca="1" si="4"/>
        <v/>
      </c>
    </row>
    <row r="142" spans="19:19" x14ac:dyDescent="0.15">
      <c r="S142" t="str">
        <f t="shared" ca="1" si="4"/>
        <v/>
      </c>
    </row>
    <row r="143" spans="19:19" x14ac:dyDescent="0.15">
      <c r="S143" t="str">
        <f t="shared" ca="1" si="4"/>
        <v/>
      </c>
    </row>
    <row r="144" spans="19:19" x14ac:dyDescent="0.15">
      <c r="S144" t="str">
        <f t="shared" ca="1" si="4"/>
        <v/>
      </c>
    </row>
    <row r="145" spans="19:19" x14ac:dyDescent="0.15">
      <c r="S145" t="str">
        <f t="shared" ca="1" si="4"/>
        <v/>
      </c>
    </row>
    <row r="146" spans="19:19" x14ac:dyDescent="0.15">
      <c r="S146" t="str">
        <f t="shared" ca="1" si="4"/>
        <v/>
      </c>
    </row>
    <row r="147" spans="19:19" x14ac:dyDescent="0.15">
      <c r="S147" t="str">
        <f t="shared" ca="1" si="4"/>
        <v/>
      </c>
    </row>
    <row r="148" spans="19:19" x14ac:dyDescent="0.15">
      <c r="S148" t="str">
        <f t="shared" ca="1" si="4"/>
        <v/>
      </c>
    </row>
    <row r="149" spans="19:19" x14ac:dyDescent="0.15">
      <c r="S149" t="str">
        <f t="shared" ca="1" si="4"/>
        <v/>
      </c>
    </row>
    <row r="150" spans="19:19" x14ac:dyDescent="0.15">
      <c r="S150" t="str">
        <f t="shared" ca="1" si="4"/>
        <v/>
      </c>
    </row>
    <row r="151" spans="19:19" x14ac:dyDescent="0.15">
      <c r="S151" t="str">
        <f t="shared" ca="1" si="4"/>
        <v/>
      </c>
    </row>
    <row r="152" spans="19:19" x14ac:dyDescent="0.15">
      <c r="S152" t="str">
        <f t="shared" ca="1" si="4"/>
        <v/>
      </c>
    </row>
    <row r="153" spans="19:19" x14ac:dyDescent="0.15">
      <c r="S153" t="str">
        <f t="shared" ca="1" si="4"/>
        <v/>
      </c>
    </row>
    <row r="154" spans="19:19" x14ac:dyDescent="0.15">
      <c r="S154" t="str">
        <f t="shared" ca="1" si="4"/>
        <v/>
      </c>
    </row>
    <row r="155" spans="19:19" x14ac:dyDescent="0.15">
      <c r="S155" t="str">
        <f t="shared" ca="1" si="4"/>
        <v/>
      </c>
    </row>
    <row r="156" spans="19:19" x14ac:dyDescent="0.15">
      <c r="S156" t="str">
        <f t="shared" ca="1" si="4"/>
        <v/>
      </c>
    </row>
    <row r="157" spans="19:19" x14ac:dyDescent="0.15">
      <c r="S157" t="str">
        <f t="shared" ca="1" si="4"/>
        <v/>
      </c>
    </row>
    <row r="158" spans="19:19" x14ac:dyDescent="0.15">
      <c r="S158" t="str">
        <f t="shared" ca="1" si="4"/>
        <v/>
      </c>
    </row>
    <row r="159" spans="19:19" x14ac:dyDescent="0.15">
      <c r="S159" t="str">
        <f t="shared" ca="1" si="4"/>
        <v/>
      </c>
    </row>
    <row r="160" spans="19:19" x14ac:dyDescent="0.15">
      <c r="S160" t="str">
        <f t="shared" ca="1" si="4"/>
        <v/>
      </c>
    </row>
    <row r="161" spans="19:19" x14ac:dyDescent="0.15">
      <c r="S161" t="str">
        <f t="shared" ca="1" si="4"/>
        <v/>
      </c>
    </row>
    <row r="162" spans="19:19" x14ac:dyDescent="0.15">
      <c r="S162" t="str">
        <f t="shared" ca="1" si="4"/>
        <v/>
      </c>
    </row>
    <row r="163" spans="19:19" x14ac:dyDescent="0.15">
      <c r="S163" t="str">
        <f t="shared" ca="1" si="4"/>
        <v/>
      </c>
    </row>
    <row r="164" spans="19:19" x14ac:dyDescent="0.15">
      <c r="S164" t="str">
        <f t="shared" ca="1" si="4"/>
        <v/>
      </c>
    </row>
    <row r="165" spans="19:19" x14ac:dyDescent="0.15">
      <c r="S165" t="str">
        <f t="shared" ca="1" si="4"/>
        <v/>
      </c>
    </row>
    <row r="166" spans="19:19" x14ac:dyDescent="0.15">
      <c r="S166" t="str">
        <f t="shared" ca="1" si="4"/>
        <v/>
      </c>
    </row>
    <row r="167" spans="19:19" x14ac:dyDescent="0.15">
      <c r="S167" t="str">
        <f t="shared" ca="1" si="4"/>
        <v/>
      </c>
    </row>
    <row r="168" spans="19:19" x14ac:dyDescent="0.15">
      <c r="S168" t="str">
        <f t="shared" ca="1" si="4"/>
        <v/>
      </c>
    </row>
    <row r="169" spans="19:19" x14ac:dyDescent="0.15">
      <c r="S169" t="str">
        <f t="shared" ca="1" si="4"/>
        <v/>
      </c>
    </row>
    <row r="170" spans="19:19" x14ac:dyDescent="0.15">
      <c r="S170" t="str">
        <f t="shared" ref="S170:S201" ca="1" si="5">IF($R170="","",IF(AND(IF(OR(ISNUMBER(D170),D170="-"),ABS(N(D170)-(IF(ISNUMBER(SEARCH(":",SUBSTITUTE($R170," ",""))),SUM(INDIRECT("D"&amp;LEFT(SUBSTITUTE($R170," ",""),SEARCH(":",SUBSTITUTE($R170," ",""))-1)&amp;":D"&amp;MID(SUBSTITUTE($R170," ",""),SEARCH(":",SUBSTITUTE($R170," ",""))+1,10))),SUMPRODUCT(--ISNUMBER(SEARCH(","&amp;ROW(D$10:D$209)&amp;",",","&amp;SUBSTITUTE($R170," ","")&amp;",")),D$10:D$209)-SUMPRODUCT(--ISNUMBER(SEARCH(",-"&amp;ROW(D$10:D$209)&amp;",",","&amp;SUBSTITUTE($R170," ","")&amp;",")),D$10:D$209))))&lt;=1,TRUE()),IF(OR(ISNUMBER(E170),E170="-"),ABS(N(E170)-(IF(ISNUMBER(SEARCH(":",SUBSTITUTE($R170," ",""))),SUM(INDIRECT("E"&amp;LEFT(SUBSTITUTE($R170," ",""),SEARCH(":",SUBSTITUTE($R170," ",""))-1)&amp;":E"&amp;MID(SUBSTITUTE($R170," ",""),SEARCH(":",SUBSTITUTE($R170," ",""))+1,10))),SUMPRODUCT(--ISNUMBER(SEARCH(","&amp;ROW(E$10:E$209)&amp;",",","&amp;SUBSTITUTE($R170," ","")&amp;",")),E$10:E$209)-SUMPRODUCT(--ISNUMBER(SEARCH(",-"&amp;ROW(E$10:E$209)&amp;",",","&amp;SUBSTITUTE($R170," ","")&amp;",")),E$10:E$209))))&lt;=1,TRUE())),"✓","✗"))</f>
        <v/>
      </c>
    </row>
    <row r="171" spans="19:19" x14ac:dyDescent="0.15">
      <c r="S171" t="str">
        <f t="shared" ca="1" si="5"/>
        <v/>
      </c>
    </row>
    <row r="172" spans="19:19" x14ac:dyDescent="0.15">
      <c r="S172" t="str">
        <f t="shared" ca="1" si="5"/>
        <v/>
      </c>
    </row>
    <row r="173" spans="19:19" x14ac:dyDescent="0.15">
      <c r="S173" t="str">
        <f t="shared" ca="1" si="5"/>
        <v/>
      </c>
    </row>
    <row r="174" spans="19:19" x14ac:dyDescent="0.15">
      <c r="S174" t="str">
        <f t="shared" ca="1" si="5"/>
        <v/>
      </c>
    </row>
    <row r="175" spans="19:19" x14ac:dyDescent="0.15">
      <c r="S175" t="str">
        <f t="shared" ca="1" si="5"/>
        <v/>
      </c>
    </row>
    <row r="176" spans="19:19" x14ac:dyDescent="0.15">
      <c r="S176" t="str">
        <f t="shared" ca="1" si="5"/>
        <v/>
      </c>
    </row>
    <row r="177" spans="19:19" x14ac:dyDescent="0.15">
      <c r="S177" t="str">
        <f t="shared" ca="1" si="5"/>
        <v/>
      </c>
    </row>
    <row r="178" spans="19:19" x14ac:dyDescent="0.15">
      <c r="S178" t="str">
        <f t="shared" ca="1" si="5"/>
        <v/>
      </c>
    </row>
    <row r="179" spans="19:19" x14ac:dyDescent="0.15">
      <c r="S179" t="str">
        <f t="shared" ca="1" si="5"/>
        <v/>
      </c>
    </row>
    <row r="180" spans="19:19" x14ac:dyDescent="0.15">
      <c r="S180" t="str">
        <f t="shared" ca="1" si="5"/>
        <v/>
      </c>
    </row>
    <row r="181" spans="19:19" x14ac:dyDescent="0.15">
      <c r="S181" t="str">
        <f t="shared" ca="1" si="5"/>
        <v/>
      </c>
    </row>
    <row r="182" spans="19:19" x14ac:dyDescent="0.15">
      <c r="S182" t="str">
        <f t="shared" ca="1" si="5"/>
        <v/>
      </c>
    </row>
    <row r="183" spans="19:19" x14ac:dyDescent="0.15">
      <c r="S183" t="str">
        <f t="shared" ca="1" si="5"/>
        <v/>
      </c>
    </row>
    <row r="184" spans="19:19" x14ac:dyDescent="0.15">
      <c r="S184" t="str">
        <f t="shared" ca="1" si="5"/>
        <v/>
      </c>
    </row>
    <row r="185" spans="19:19" x14ac:dyDescent="0.15">
      <c r="S185" t="str">
        <f t="shared" ca="1" si="5"/>
        <v/>
      </c>
    </row>
    <row r="186" spans="19:19" x14ac:dyDescent="0.15">
      <c r="S186" t="str">
        <f t="shared" ca="1" si="5"/>
        <v/>
      </c>
    </row>
    <row r="187" spans="19:19" x14ac:dyDescent="0.15">
      <c r="S187" t="str">
        <f t="shared" ca="1" si="5"/>
        <v/>
      </c>
    </row>
    <row r="188" spans="19:19" x14ac:dyDescent="0.15">
      <c r="S188" t="str">
        <f t="shared" ca="1" si="5"/>
        <v/>
      </c>
    </row>
    <row r="189" spans="19:19" x14ac:dyDescent="0.15">
      <c r="S189" t="str">
        <f t="shared" ca="1" si="5"/>
        <v/>
      </c>
    </row>
    <row r="190" spans="19:19" x14ac:dyDescent="0.15">
      <c r="S190" t="str">
        <f t="shared" ca="1" si="5"/>
        <v/>
      </c>
    </row>
    <row r="191" spans="19:19" x14ac:dyDescent="0.15">
      <c r="S191" t="str">
        <f t="shared" ca="1" si="5"/>
        <v/>
      </c>
    </row>
    <row r="192" spans="19:19" x14ac:dyDescent="0.15">
      <c r="S192" t="str">
        <f t="shared" ca="1" si="5"/>
        <v/>
      </c>
    </row>
    <row r="193" spans="19:19" x14ac:dyDescent="0.15">
      <c r="S193" t="str">
        <f t="shared" ca="1" si="5"/>
        <v/>
      </c>
    </row>
    <row r="194" spans="19:19" x14ac:dyDescent="0.15">
      <c r="S194" t="str">
        <f t="shared" ca="1" si="5"/>
        <v/>
      </c>
    </row>
    <row r="195" spans="19:19" x14ac:dyDescent="0.15">
      <c r="S195" t="str">
        <f t="shared" ca="1" si="5"/>
        <v/>
      </c>
    </row>
    <row r="196" spans="19:19" x14ac:dyDescent="0.15">
      <c r="S196" t="str">
        <f t="shared" ca="1" si="5"/>
        <v/>
      </c>
    </row>
    <row r="197" spans="19:19" x14ac:dyDescent="0.15">
      <c r="S197" t="str">
        <f t="shared" ca="1" si="5"/>
        <v/>
      </c>
    </row>
    <row r="198" spans="19:19" x14ac:dyDescent="0.15">
      <c r="S198" t="str">
        <f t="shared" ca="1" si="5"/>
        <v/>
      </c>
    </row>
    <row r="199" spans="19:19" x14ac:dyDescent="0.15">
      <c r="S199" t="str">
        <f t="shared" ca="1" si="5"/>
        <v/>
      </c>
    </row>
    <row r="200" spans="19:19" x14ac:dyDescent="0.15">
      <c r="S200" t="str">
        <f t="shared" ca="1" si="5"/>
        <v/>
      </c>
    </row>
    <row r="201" spans="19:19" x14ac:dyDescent="0.15">
      <c r="S201" t="str">
        <f t="shared" ca="1" si="5"/>
        <v/>
      </c>
    </row>
    <row r="202" spans="19:19" x14ac:dyDescent="0.15">
      <c r="S202" t="str">
        <f t="shared" ref="S202:S209" ca="1" si="6">IF($R202="","",IF(AND(IF(OR(ISNUMBER(D202),D202="-"),ABS(N(D202)-(IF(ISNUMBER(SEARCH(":",SUBSTITUTE($R202," ",""))),SUM(INDIRECT("D"&amp;LEFT(SUBSTITUTE($R202," ",""),SEARCH(":",SUBSTITUTE($R202," ",""))-1)&amp;":D"&amp;MID(SUBSTITUTE($R202," ",""),SEARCH(":",SUBSTITUTE($R202," ",""))+1,10))),SUMPRODUCT(--ISNUMBER(SEARCH(","&amp;ROW(D$10:D$209)&amp;",",","&amp;SUBSTITUTE($R202," ","")&amp;",")),D$10:D$209)-SUMPRODUCT(--ISNUMBER(SEARCH(",-"&amp;ROW(D$10:D$209)&amp;",",","&amp;SUBSTITUTE($R202," ","")&amp;",")),D$10:D$209))))&lt;=1,TRUE()),IF(OR(ISNUMBER(E202),E202="-"),ABS(N(E202)-(IF(ISNUMBER(SEARCH(":",SUBSTITUTE($R202," ",""))),SUM(INDIRECT("E"&amp;LEFT(SUBSTITUTE($R202," ",""),SEARCH(":",SUBSTITUTE($R202," ",""))-1)&amp;":E"&amp;MID(SUBSTITUTE($R202," ",""),SEARCH(":",SUBSTITUTE($R202," ",""))+1,10))),SUMPRODUCT(--ISNUMBER(SEARCH(","&amp;ROW(E$10:E$209)&amp;",",","&amp;SUBSTITUTE($R202," ","")&amp;",")),E$10:E$209)-SUMPRODUCT(--ISNUMBER(SEARCH(",-"&amp;ROW(E$10:E$209)&amp;",",","&amp;SUBSTITUTE($R202," ","")&amp;",")),E$10:E$209))))&lt;=1,TRUE())),"✓","✗"))</f>
        <v/>
      </c>
    </row>
    <row r="203" spans="19:19" x14ac:dyDescent="0.15">
      <c r="S203" t="str">
        <f t="shared" ca="1" si="6"/>
        <v/>
      </c>
    </row>
    <row r="204" spans="19:19" x14ac:dyDescent="0.15">
      <c r="S204" t="str">
        <f t="shared" ca="1" si="6"/>
        <v/>
      </c>
    </row>
    <row r="205" spans="19:19" x14ac:dyDescent="0.15">
      <c r="S205" t="str">
        <f t="shared" ca="1" si="6"/>
        <v/>
      </c>
    </row>
    <row r="206" spans="19:19" x14ac:dyDescent="0.15">
      <c r="S206" t="str">
        <f t="shared" ca="1" si="6"/>
        <v/>
      </c>
    </row>
    <row r="207" spans="19:19" x14ac:dyDescent="0.15">
      <c r="S207" t="str">
        <f t="shared" ca="1" si="6"/>
        <v/>
      </c>
    </row>
    <row r="208" spans="19:19" x14ac:dyDescent="0.15">
      <c r="S208" t="str">
        <f t="shared" ca="1" si="6"/>
        <v/>
      </c>
    </row>
    <row r="209" spans="19:19" x14ac:dyDescent="0.15">
      <c r="S209" t="str">
        <f t="shared" ca="1" si="6"/>
        <v/>
      </c>
    </row>
  </sheetData>
  <conditionalFormatting sqref="S10:S209">
    <cfRule type="cellIs" dxfId="9" priority="2" operator="equal">
      <formula>"✗"</formula>
    </cfRule>
    <cfRule type="cellIs" dxfId="8" priority="3" operator="equal">
      <formula>"✓"</formula>
    </cfRule>
  </conditionalFormatting>
  <dataValidations count="3">
    <dataValidation type="list" sqref="B1" xr:uid="{00000000-0002-0000-0200-000000000000}">
      <formula1>"financial_position,income,comprehensive_income,income_and_comprehensive_income,changes_in_equity,changes_in_net_assets,cash_flows,other"</formula1>
      <formula2>0</formula2>
    </dataValidation>
    <dataValidation type="list" sqref="B5" xr:uid="{00000000-0002-0000-0200-000001000000}">
      <formula1>"1,1000,1000000"</formula1>
      <formula2>0</formula2>
    </dataValidation>
    <dataValidation type="list" allowBlank="1" sqref="A10:A209" xr:uid="{00000000-0002-0000-0200-000002000000}">
      <formula1>"section,item,subtotal,total"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209"/>
  <sheetViews>
    <sheetView zoomScaleNormal="100" workbookViewId="0">
      <pane xSplit="3" ySplit="9" topLeftCell="D10" activePane="bottomRight" state="frozen"/>
      <selection pane="topRight" activeCell="D1" sqref="D1"/>
      <selection pane="bottomLeft" activeCell="A10" sqref="A10"/>
      <selection pane="bottomRight"/>
    </sheetView>
  </sheetViews>
  <sheetFormatPr baseColWidth="10" defaultColWidth="8.6640625" defaultRowHeight="13" x14ac:dyDescent="0.15"/>
  <cols>
    <col min="1" max="1" width="10" customWidth="1"/>
    <col min="2" max="2" width="52" customWidth="1"/>
    <col min="3" max="3" width="9" customWidth="1"/>
    <col min="4" max="17" width="16" customWidth="1"/>
    <col min="18" max="18" width="14" customWidth="1"/>
    <col min="19" max="19" width="7" customWidth="1"/>
    <col min="20" max="20" width="30" customWidth="1"/>
  </cols>
  <sheetData>
    <row r="1" spans="1:20" ht="15" x14ac:dyDescent="0.2">
      <c r="A1" s="5" t="s">
        <v>44</v>
      </c>
      <c r="B1" s="6" t="s">
        <v>114</v>
      </c>
    </row>
    <row r="2" spans="1:20" ht="15" x14ac:dyDescent="0.2">
      <c r="A2" s="5" t="s">
        <v>46</v>
      </c>
      <c r="B2" s="7" t="s">
        <v>115</v>
      </c>
    </row>
    <row r="3" spans="1:20" ht="15" x14ac:dyDescent="0.2">
      <c r="A3" s="5" t="s">
        <v>48</v>
      </c>
      <c r="B3" s="6" t="s">
        <v>116</v>
      </c>
      <c r="C3" t="s">
        <v>50</v>
      </c>
    </row>
    <row r="4" spans="1:20" ht="15" x14ac:dyDescent="0.2">
      <c r="A4" s="5" t="s">
        <v>51</v>
      </c>
      <c r="B4" s="6" t="s">
        <v>52</v>
      </c>
    </row>
    <row r="5" spans="1:20" ht="15" x14ac:dyDescent="0.2">
      <c r="A5" s="5" t="s">
        <v>53</v>
      </c>
      <c r="B5" s="6">
        <v>1</v>
      </c>
      <c r="C5" t="s">
        <v>54</v>
      </c>
    </row>
    <row r="7" spans="1:20" ht="15" customHeight="1" x14ac:dyDescent="0.15">
      <c r="A7" s="8" t="s">
        <v>55</v>
      </c>
      <c r="B7" s="8" t="s">
        <v>56</v>
      </c>
      <c r="C7" s="8" t="s">
        <v>57</v>
      </c>
      <c r="D7" s="8" t="s">
        <v>58</v>
      </c>
      <c r="E7" s="8" t="s">
        <v>59</v>
      </c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 t="s">
        <v>60</v>
      </c>
      <c r="S7" s="8" t="s">
        <v>61</v>
      </c>
      <c r="T7" s="8" t="s">
        <v>43</v>
      </c>
    </row>
    <row r="8" spans="1:20" ht="15" customHeight="1" x14ac:dyDescent="0.2">
      <c r="C8" t="s">
        <v>62</v>
      </c>
      <c r="D8" s="6" t="s">
        <v>28</v>
      </c>
      <c r="E8" s="6" t="s">
        <v>63</v>
      </c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</row>
    <row r="9" spans="1:20" ht="15" customHeight="1" x14ac:dyDescent="0.2">
      <c r="C9" t="s">
        <v>64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</row>
    <row r="10" spans="1:20" ht="15" customHeight="1" x14ac:dyDescent="0.2">
      <c r="A10" t="s">
        <v>98</v>
      </c>
      <c r="B10" s="9" t="s">
        <v>117</v>
      </c>
      <c r="D10" s="10"/>
      <c r="E10" s="10"/>
      <c r="S10" t="str">
        <f t="shared" ref="S10:S41" ca="1" si="0">IF($R10="","",IF(AND(IF(OR(ISNUMBER(D10),D10="-"),ABS(N(D10)-(IF(ISNUMBER(SEARCH(":",SUBSTITUTE($R10," ",""))),SUM(INDIRECT("D"&amp;LEFT(SUBSTITUTE($R10," ",""),SEARCH(":",SUBSTITUTE($R10," ",""))-1)&amp;":D"&amp;MID(SUBSTITUTE($R10," ",""),SEARCH(":",SUBSTITUTE($R10," ",""))+1,10))),SUMPRODUCT(--ISNUMBER(SEARCH(","&amp;ROW(D$10:D$209)&amp;",",","&amp;SUBSTITUTE($R10," ","")&amp;",")),D$10:D$209)-SUMPRODUCT(--ISNUMBER(SEARCH(",-"&amp;ROW(D$10:D$209)&amp;",",","&amp;SUBSTITUTE($R10," ","")&amp;",")),D$10:D$209))))&lt;=1,TRUE()),IF(OR(ISNUMBER(E10),E10="-"),ABS(N(E10)-(IF(ISNUMBER(SEARCH(":",SUBSTITUTE($R10," ",""))),SUM(INDIRECT("E"&amp;LEFT(SUBSTITUTE($R10," ",""),SEARCH(":",SUBSTITUTE($R10," ",""))-1)&amp;":E"&amp;MID(SUBSTITUTE($R10," ",""),SEARCH(":",SUBSTITUTE($R10," ",""))+1,10))),SUMPRODUCT(--ISNUMBER(SEARCH(","&amp;ROW(E$10:E$209)&amp;",",","&amp;SUBSTITUTE($R10," ","")&amp;",")),E$10:E$209)-SUMPRODUCT(--ISNUMBER(SEARCH(",-"&amp;ROW(E$10:E$209)&amp;",",","&amp;SUBSTITUTE($R10," ","")&amp;",")),E$10:E$209))))&lt;=1,TRUE())),"✓","✗"))</f>
        <v/>
      </c>
    </row>
    <row r="11" spans="1:20" ht="15" customHeight="1" x14ac:dyDescent="0.2">
      <c r="A11" t="s">
        <v>98</v>
      </c>
      <c r="B11" s="9" t="s">
        <v>118</v>
      </c>
      <c r="D11" s="10"/>
      <c r="E11" s="10"/>
      <c r="S11" t="str">
        <f t="shared" ca="1" si="0"/>
        <v/>
      </c>
    </row>
    <row r="12" spans="1:20" ht="15" customHeight="1" x14ac:dyDescent="0.2">
      <c r="A12" t="s">
        <v>65</v>
      </c>
      <c r="B12" s="9" t="s">
        <v>119</v>
      </c>
      <c r="C12" t="s">
        <v>79</v>
      </c>
      <c r="D12" s="10">
        <v>343119005</v>
      </c>
      <c r="E12" s="10">
        <v>379108894</v>
      </c>
      <c r="S12" t="str">
        <f t="shared" ca="1" si="0"/>
        <v/>
      </c>
    </row>
    <row r="13" spans="1:20" ht="15" customHeight="1" x14ac:dyDescent="0.2">
      <c r="A13" t="s">
        <v>65</v>
      </c>
      <c r="B13" s="9" t="s">
        <v>120</v>
      </c>
      <c r="C13" t="s">
        <v>121</v>
      </c>
      <c r="D13" s="10">
        <v>2645952</v>
      </c>
      <c r="E13" s="10">
        <v>2659006</v>
      </c>
      <c r="S13" t="str">
        <f t="shared" ca="1" si="0"/>
        <v/>
      </c>
    </row>
    <row r="14" spans="1:20" ht="15" customHeight="1" x14ac:dyDescent="0.2">
      <c r="A14" t="s">
        <v>65</v>
      </c>
      <c r="B14" s="9" t="s">
        <v>122</v>
      </c>
      <c r="C14" t="s">
        <v>123</v>
      </c>
      <c r="D14" s="10">
        <v>14659902</v>
      </c>
      <c r="E14" s="10">
        <v>22689430</v>
      </c>
      <c r="S14" t="str">
        <f t="shared" ca="1" si="0"/>
        <v/>
      </c>
    </row>
    <row r="15" spans="1:20" ht="15" customHeight="1" x14ac:dyDescent="0.2">
      <c r="A15" t="s">
        <v>65</v>
      </c>
      <c r="B15" s="9" t="s">
        <v>124</v>
      </c>
      <c r="C15" t="s">
        <v>125</v>
      </c>
      <c r="D15" s="10">
        <v>45134328</v>
      </c>
      <c r="E15" s="10">
        <v>45134328</v>
      </c>
      <c r="S15" t="str">
        <f t="shared" ca="1" si="0"/>
        <v/>
      </c>
    </row>
    <row r="16" spans="1:20" ht="15" customHeight="1" x14ac:dyDescent="0.2">
      <c r="A16" t="s">
        <v>65</v>
      </c>
      <c r="B16" s="9" t="s">
        <v>126</v>
      </c>
      <c r="C16" t="s">
        <v>127</v>
      </c>
      <c r="D16" s="10">
        <v>1006018</v>
      </c>
      <c r="E16" s="10">
        <v>1038490</v>
      </c>
      <c r="S16" t="str">
        <f t="shared" ca="1" si="0"/>
        <v/>
      </c>
    </row>
    <row r="17" spans="1:19" ht="15" customHeight="1" x14ac:dyDescent="0.2">
      <c r="A17" t="s">
        <v>70</v>
      </c>
      <c r="B17" s="9" t="s">
        <v>128</v>
      </c>
      <c r="D17" s="10">
        <v>406565205</v>
      </c>
      <c r="E17" s="10">
        <v>450630148</v>
      </c>
      <c r="R17" t="s">
        <v>82</v>
      </c>
      <c r="S17" t="str">
        <f t="shared" ca="1" si="0"/>
        <v>✓</v>
      </c>
    </row>
    <row r="18" spans="1:19" ht="15" customHeight="1" x14ac:dyDescent="0.2">
      <c r="A18" t="s">
        <v>98</v>
      </c>
      <c r="B18" s="9" t="s">
        <v>129</v>
      </c>
      <c r="D18" s="10"/>
      <c r="E18" s="10"/>
      <c r="S18" t="str">
        <f t="shared" ca="1" si="0"/>
        <v/>
      </c>
    </row>
    <row r="19" spans="1:19" ht="15" customHeight="1" x14ac:dyDescent="0.2">
      <c r="A19" t="s">
        <v>65</v>
      </c>
      <c r="B19" s="9" t="s">
        <v>130</v>
      </c>
      <c r="D19" s="10" t="s">
        <v>80</v>
      </c>
      <c r="E19" s="10">
        <v>2954779</v>
      </c>
      <c r="S19" t="str">
        <f t="shared" ca="1" si="0"/>
        <v/>
      </c>
    </row>
    <row r="20" spans="1:19" ht="15" customHeight="1" x14ac:dyDescent="0.2">
      <c r="A20" t="s">
        <v>65</v>
      </c>
      <c r="B20" s="9" t="s">
        <v>131</v>
      </c>
      <c r="C20" t="s">
        <v>132</v>
      </c>
      <c r="D20" s="10">
        <v>200221284</v>
      </c>
      <c r="E20" s="10">
        <v>224007607</v>
      </c>
      <c r="S20" t="str">
        <f t="shared" ca="1" si="0"/>
        <v/>
      </c>
    </row>
    <row r="21" spans="1:19" ht="15" customHeight="1" x14ac:dyDescent="0.2">
      <c r="A21" t="s">
        <v>65</v>
      </c>
      <c r="B21" s="9" t="s">
        <v>133</v>
      </c>
      <c r="C21" t="s">
        <v>134</v>
      </c>
      <c r="D21" s="10">
        <v>138078709</v>
      </c>
      <c r="E21" s="10">
        <v>163076003</v>
      </c>
      <c r="S21" t="str">
        <f t="shared" ca="1" si="0"/>
        <v/>
      </c>
    </row>
    <row r="22" spans="1:19" ht="15" customHeight="1" x14ac:dyDescent="0.2">
      <c r="A22" t="s">
        <v>65</v>
      </c>
      <c r="B22" s="9" t="s">
        <v>135</v>
      </c>
      <c r="C22" t="s">
        <v>136</v>
      </c>
      <c r="D22" s="10" t="s">
        <v>80</v>
      </c>
      <c r="E22" s="10">
        <v>77162884</v>
      </c>
      <c r="S22" t="str">
        <f t="shared" ca="1" si="0"/>
        <v/>
      </c>
    </row>
    <row r="23" spans="1:19" ht="15" customHeight="1" x14ac:dyDescent="0.2">
      <c r="A23" t="s">
        <v>65</v>
      </c>
      <c r="B23" s="9" t="s">
        <v>137</v>
      </c>
      <c r="C23" t="s">
        <v>138</v>
      </c>
      <c r="D23" s="10">
        <v>35310857</v>
      </c>
      <c r="E23" s="10">
        <v>33797441</v>
      </c>
      <c r="S23" t="str">
        <f t="shared" ca="1" si="0"/>
        <v/>
      </c>
    </row>
    <row r="24" spans="1:19" ht="15" customHeight="1" x14ac:dyDescent="0.2">
      <c r="A24" t="s">
        <v>70</v>
      </c>
      <c r="B24" s="9" t="s">
        <v>139</v>
      </c>
      <c r="D24" s="10">
        <v>373610850</v>
      </c>
      <c r="E24" s="10">
        <v>500998714</v>
      </c>
      <c r="R24" t="s">
        <v>140</v>
      </c>
      <c r="S24" t="str">
        <f t="shared" ca="1" si="0"/>
        <v>✓</v>
      </c>
    </row>
    <row r="25" spans="1:19" ht="15" customHeight="1" x14ac:dyDescent="0.2">
      <c r="A25" t="s">
        <v>95</v>
      </c>
      <c r="B25" s="9" t="s">
        <v>141</v>
      </c>
      <c r="D25" s="10">
        <v>780176055</v>
      </c>
      <c r="E25" s="10">
        <v>951628862</v>
      </c>
      <c r="R25" t="s">
        <v>142</v>
      </c>
      <c r="S25" t="str">
        <f t="shared" ca="1" si="0"/>
        <v>✓</v>
      </c>
    </row>
    <row r="26" spans="1:19" ht="15" customHeight="1" x14ac:dyDescent="0.2">
      <c r="A26" t="s">
        <v>98</v>
      </c>
      <c r="B26" s="9" t="s">
        <v>143</v>
      </c>
      <c r="D26" s="10"/>
      <c r="E26" s="10"/>
      <c r="S26" t="str">
        <f t="shared" ca="1" si="0"/>
        <v/>
      </c>
    </row>
    <row r="27" spans="1:19" ht="15" customHeight="1" x14ac:dyDescent="0.2">
      <c r="A27" t="s">
        <v>98</v>
      </c>
      <c r="B27" s="9" t="s">
        <v>144</v>
      </c>
      <c r="D27" s="10"/>
      <c r="E27" s="10"/>
      <c r="S27" t="str">
        <f t="shared" ca="1" si="0"/>
        <v/>
      </c>
    </row>
    <row r="28" spans="1:19" ht="15" customHeight="1" x14ac:dyDescent="0.2">
      <c r="A28" t="s">
        <v>65</v>
      </c>
      <c r="B28" s="9" t="s">
        <v>145</v>
      </c>
      <c r="C28" t="s">
        <v>146</v>
      </c>
      <c r="D28" s="10">
        <v>353571450</v>
      </c>
      <c r="E28" s="10">
        <v>353571450</v>
      </c>
      <c r="S28" t="str">
        <f t="shared" ca="1" si="0"/>
        <v/>
      </c>
    </row>
    <row r="29" spans="1:19" ht="15" customHeight="1" x14ac:dyDescent="0.2">
      <c r="A29" t="s">
        <v>65</v>
      </c>
      <c r="B29" s="9" t="s">
        <v>147</v>
      </c>
      <c r="C29" t="s">
        <v>148</v>
      </c>
      <c r="D29" s="10" t="s">
        <v>80</v>
      </c>
      <c r="E29" s="10">
        <v>106071435</v>
      </c>
      <c r="S29" t="str">
        <f t="shared" ca="1" si="0"/>
        <v/>
      </c>
    </row>
    <row r="30" spans="1:19" ht="15" customHeight="1" x14ac:dyDescent="0.2">
      <c r="A30" t="s">
        <v>65</v>
      </c>
      <c r="B30" s="9" t="s">
        <v>149</v>
      </c>
      <c r="D30" s="10">
        <v>242339560</v>
      </c>
      <c r="E30" s="10">
        <v>90788021</v>
      </c>
      <c r="S30" t="str">
        <f t="shared" ca="1" si="0"/>
        <v/>
      </c>
    </row>
    <row r="31" spans="1:19" ht="15" customHeight="1" x14ac:dyDescent="0.2">
      <c r="A31" t="s">
        <v>65</v>
      </c>
      <c r="B31" s="9" t="s">
        <v>150</v>
      </c>
      <c r="D31" s="10">
        <v>-306316102</v>
      </c>
      <c r="E31" s="10">
        <v>-243595177</v>
      </c>
      <c r="S31" t="str">
        <f t="shared" ca="1" si="0"/>
        <v/>
      </c>
    </row>
    <row r="32" spans="1:19" ht="15" customHeight="1" x14ac:dyDescent="0.2">
      <c r="A32" t="s">
        <v>95</v>
      </c>
      <c r="B32" s="9" t="s">
        <v>151</v>
      </c>
      <c r="D32" s="10">
        <v>289594908</v>
      </c>
      <c r="E32" s="10">
        <v>306835729</v>
      </c>
      <c r="R32" t="s">
        <v>152</v>
      </c>
      <c r="S32" t="str">
        <f t="shared" ca="1" si="0"/>
        <v>✓</v>
      </c>
    </row>
    <row r="33" spans="1:19" ht="15" customHeight="1" x14ac:dyDescent="0.2">
      <c r="A33" t="s">
        <v>98</v>
      </c>
      <c r="B33" s="9" t="s">
        <v>153</v>
      </c>
      <c r="D33" s="10"/>
      <c r="E33" s="10"/>
      <c r="S33" t="str">
        <f t="shared" ca="1" si="0"/>
        <v/>
      </c>
    </row>
    <row r="34" spans="1:19" ht="15" customHeight="1" x14ac:dyDescent="0.2">
      <c r="A34" t="s">
        <v>65</v>
      </c>
      <c r="B34" s="9" t="s">
        <v>154</v>
      </c>
      <c r="C34" t="s">
        <v>155</v>
      </c>
      <c r="D34" s="10" t="s">
        <v>80</v>
      </c>
      <c r="E34" s="10" t="s">
        <v>80</v>
      </c>
      <c r="S34" t="str">
        <f t="shared" ca="1" si="0"/>
        <v/>
      </c>
    </row>
    <row r="35" spans="1:19" ht="15" customHeight="1" x14ac:dyDescent="0.2">
      <c r="A35" t="s">
        <v>65</v>
      </c>
      <c r="B35" s="9" t="s">
        <v>156</v>
      </c>
      <c r="C35" t="s">
        <v>157</v>
      </c>
      <c r="D35" s="10">
        <v>44687500</v>
      </c>
      <c r="E35" s="10" t="s">
        <v>80</v>
      </c>
      <c r="S35" t="str">
        <f t="shared" ca="1" si="0"/>
        <v/>
      </c>
    </row>
    <row r="36" spans="1:19" ht="15" customHeight="1" x14ac:dyDescent="0.2">
      <c r="A36" t="s">
        <v>65</v>
      </c>
      <c r="B36" s="9" t="s">
        <v>158</v>
      </c>
      <c r="C36" t="s">
        <v>127</v>
      </c>
      <c r="D36" s="10">
        <v>2468060</v>
      </c>
      <c r="E36" s="10" t="s">
        <v>80</v>
      </c>
      <c r="S36" t="str">
        <f t="shared" ca="1" si="0"/>
        <v/>
      </c>
    </row>
    <row r="37" spans="1:19" ht="15" customHeight="1" x14ac:dyDescent="0.2">
      <c r="A37" t="s">
        <v>65</v>
      </c>
      <c r="B37" s="9" t="s">
        <v>159</v>
      </c>
      <c r="C37" t="s">
        <v>123</v>
      </c>
      <c r="D37" s="10">
        <v>9868477</v>
      </c>
      <c r="E37" s="10">
        <v>17356594</v>
      </c>
      <c r="S37" t="str">
        <f t="shared" ca="1" si="0"/>
        <v/>
      </c>
    </row>
    <row r="38" spans="1:19" ht="15" customHeight="1" x14ac:dyDescent="0.2">
      <c r="A38" t="s">
        <v>65</v>
      </c>
      <c r="B38" s="9" t="s">
        <v>160</v>
      </c>
      <c r="C38" t="s">
        <v>161</v>
      </c>
      <c r="D38" s="10">
        <v>26873500</v>
      </c>
      <c r="E38" s="10">
        <v>27250200</v>
      </c>
      <c r="S38" t="str">
        <f t="shared" ca="1" si="0"/>
        <v/>
      </c>
    </row>
    <row r="39" spans="1:19" ht="15" customHeight="1" x14ac:dyDescent="0.2">
      <c r="A39" t="s">
        <v>70</v>
      </c>
      <c r="B39" s="9" t="s">
        <v>162</v>
      </c>
      <c r="D39" s="10">
        <v>83897537</v>
      </c>
      <c r="E39" s="10">
        <v>44606794</v>
      </c>
      <c r="R39" t="s">
        <v>163</v>
      </c>
      <c r="S39" t="str">
        <f t="shared" ca="1" si="0"/>
        <v>✓</v>
      </c>
    </row>
    <row r="40" spans="1:19" ht="15" customHeight="1" x14ac:dyDescent="0.2">
      <c r="A40" t="s">
        <v>98</v>
      </c>
      <c r="B40" s="9" t="s">
        <v>164</v>
      </c>
      <c r="D40" s="10"/>
      <c r="E40" s="10"/>
      <c r="S40" t="str">
        <f t="shared" ca="1" si="0"/>
        <v/>
      </c>
    </row>
    <row r="41" spans="1:19" ht="15" customHeight="1" x14ac:dyDescent="0.2">
      <c r="A41" t="s">
        <v>65</v>
      </c>
      <c r="B41" s="9" t="s">
        <v>165</v>
      </c>
      <c r="C41" t="s">
        <v>155</v>
      </c>
      <c r="D41" s="10" t="s">
        <v>80</v>
      </c>
      <c r="E41" s="10">
        <v>4163000</v>
      </c>
      <c r="S41" t="str">
        <f t="shared" ca="1" si="0"/>
        <v/>
      </c>
    </row>
    <row r="42" spans="1:19" ht="15" customHeight="1" x14ac:dyDescent="0.2">
      <c r="A42" t="s">
        <v>65</v>
      </c>
      <c r="B42" s="9" t="s">
        <v>166</v>
      </c>
      <c r="C42" t="s">
        <v>167</v>
      </c>
      <c r="D42" s="10">
        <v>16250000</v>
      </c>
      <c r="E42" s="10" t="s">
        <v>80</v>
      </c>
      <c r="S42" t="str">
        <f t="shared" ref="S42:S73" ca="1" si="1">IF($R42="","",IF(AND(IF(OR(ISNUMBER(D42),D42="-"),ABS(N(D42)-(IF(ISNUMBER(SEARCH(":",SUBSTITUTE($R42," ",""))),SUM(INDIRECT("D"&amp;LEFT(SUBSTITUTE($R42," ",""),SEARCH(":",SUBSTITUTE($R42," ",""))-1)&amp;":D"&amp;MID(SUBSTITUTE($R42," ",""),SEARCH(":",SUBSTITUTE($R42," ",""))+1,10))),SUMPRODUCT(--ISNUMBER(SEARCH(","&amp;ROW(D$10:D$209)&amp;",",","&amp;SUBSTITUTE($R42," ","")&amp;",")),D$10:D$209)-SUMPRODUCT(--ISNUMBER(SEARCH(",-"&amp;ROW(D$10:D$209)&amp;",",","&amp;SUBSTITUTE($R42," ","")&amp;",")),D$10:D$209))))&lt;=1,TRUE()),IF(OR(ISNUMBER(E42),E42="-"),ABS(N(E42)-(IF(ISNUMBER(SEARCH(":",SUBSTITUTE($R42," ",""))),SUM(INDIRECT("E"&amp;LEFT(SUBSTITUTE($R42," ",""),SEARCH(":",SUBSTITUTE($R42," ",""))-1)&amp;":E"&amp;MID(SUBSTITUTE($R42," ",""),SEARCH(":",SUBSTITUTE($R42," ",""))+1,10))),SUMPRODUCT(--ISNUMBER(SEARCH(","&amp;ROW(E$10:E$209)&amp;",",","&amp;SUBSTITUTE($R42," ","")&amp;",")),E$10:E$209)-SUMPRODUCT(--ISNUMBER(SEARCH(",-"&amp;ROW(E$10:E$209)&amp;",",","&amp;SUBSTITUTE($R42," ","")&amp;",")),E$10:E$209))))&lt;=1,TRUE())),"✓","✗"))</f>
        <v/>
      </c>
    </row>
    <row r="43" spans="1:19" ht="15" customHeight="1" x14ac:dyDescent="0.2">
      <c r="A43" t="s">
        <v>65</v>
      </c>
      <c r="B43" s="9" t="s">
        <v>168</v>
      </c>
      <c r="C43" t="s">
        <v>169</v>
      </c>
      <c r="D43" s="10">
        <v>186349935</v>
      </c>
      <c r="E43" s="10">
        <v>352767882</v>
      </c>
      <c r="S43" t="str">
        <f t="shared" ca="1" si="1"/>
        <v/>
      </c>
    </row>
    <row r="44" spans="1:19" ht="15" customHeight="1" x14ac:dyDescent="0.2">
      <c r="A44" t="s">
        <v>65</v>
      </c>
      <c r="B44" s="9" t="s">
        <v>170</v>
      </c>
      <c r="C44" t="s">
        <v>123</v>
      </c>
      <c r="D44" s="10">
        <v>5503053</v>
      </c>
      <c r="E44" s="10">
        <v>6801644</v>
      </c>
      <c r="S44" t="str">
        <f t="shared" ca="1" si="1"/>
        <v/>
      </c>
    </row>
    <row r="45" spans="1:19" ht="15" customHeight="1" x14ac:dyDescent="0.2">
      <c r="A45" t="s">
        <v>65</v>
      </c>
      <c r="B45" s="9" t="s">
        <v>171</v>
      </c>
      <c r="D45" s="10">
        <v>71521042</v>
      </c>
      <c r="E45" s="10">
        <v>70784910</v>
      </c>
      <c r="S45" t="str">
        <f t="shared" ca="1" si="1"/>
        <v/>
      </c>
    </row>
    <row r="46" spans="1:19" ht="15" customHeight="1" x14ac:dyDescent="0.2">
      <c r="A46" t="s">
        <v>65</v>
      </c>
      <c r="B46" s="9" t="s">
        <v>172</v>
      </c>
      <c r="C46" t="s">
        <v>173</v>
      </c>
      <c r="D46" s="10">
        <v>115052278</v>
      </c>
      <c r="E46" s="10">
        <v>149279252</v>
      </c>
      <c r="S46" t="str">
        <f t="shared" ca="1" si="1"/>
        <v/>
      </c>
    </row>
    <row r="47" spans="1:19" ht="15" customHeight="1" x14ac:dyDescent="0.2">
      <c r="A47" t="s">
        <v>65</v>
      </c>
      <c r="B47" s="9" t="s">
        <v>174</v>
      </c>
      <c r="C47" t="s">
        <v>127</v>
      </c>
      <c r="D47" s="10">
        <v>12007302</v>
      </c>
      <c r="E47" s="10">
        <v>16389651</v>
      </c>
      <c r="S47" t="str">
        <f t="shared" ca="1" si="1"/>
        <v/>
      </c>
    </row>
    <row r="48" spans="1:19" ht="15" customHeight="1" x14ac:dyDescent="0.2">
      <c r="A48" t="s">
        <v>70</v>
      </c>
      <c r="B48" s="9" t="s">
        <v>175</v>
      </c>
      <c r="D48" s="10">
        <v>406683610</v>
      </c>
      <c r="E48" s="10">
        <v>600186339</v>
      </c>
      <c r="R48" t="s">
        <v>176</v>
      </c>
      <c r="S48" t="str">
        <f t="shared" ca="1" si="1"/>
        <v>✓</v>
      </c>
    </row>
    <row r="49" spans="1:19" ht="15" customHeight="1" x14ac:dyDescent="0.2">
      <c r="A49" t="s">
        <v>95</v>
      </c>
      <c r="B49" s="9" t="s">
        <v>177</v>
      </c>
      <c r="D49" s="10">
        <v>490581147</v>
      </c>
      <c r="E49" s="10">
        <v>644793133</v>
      </c>
      <c r="R49" t="s">
        <v>178</v>
      </c>
      <c r="S49" t="str">
        <f t="shared" ca="1" si="1"/>
        <v>✓</v>
      </c>
    </row>
    <row r="50" spans="1:19" ht="15" customHeight="1" x14ac:dyDescent="0.2">
      <c r="A50" t="s">
        <v>95</v>
      </c>
      <c r="B50" s="9" t="s">
        <v>179</v>
      </c>
      <c r="D50" s="10">
        <v>780176055</v>
      </c>
      <c r="E50" s="10">
        <v>951628862</v>
      </c>
      <c r="R50" t="s">
        <v>180</v>
      </c>
      <c r="S50" t="str">
        <f t="shared" ca="1" si="1"/>
        <v>✓</v>
      </c>
    </row>
    <row r="51" spans="1:19" x14ac:dyDescent="0.15">
      <c r="S51" t="str">
        <f t="shared" ca="1" si="1"/>
        <v/>
      </c>
    </row>
    <row r="52" spans="1:19" x14ac:dyDescent="0.15">
      <c r="S52" t="str">
        <f t="shared" ca="1" si="1"/>
        <v/>
      </c>
    </row>
    <row r="53" spans="1:19" x14ac:dyDescent="0.15">
      <c r="S53" t="str">
        <f t="shared" ca="1" si="1"/>
        <v/>
      </c>
    </row>
    <row r="54" spans="1:19" x14ac:dyDescent="0.15">
      <c r="S54" t="str">
        <f t="shared" ca="1" si="1"/>
        <v/>
      </c>
    </row>
    <row r="55" spans="1:19" x14ac:dyDescent="0.15">
      <c r="S55" t="str">
        <f t="shared" ca="1" si="1"/>
        <v/>
      </c>
    </row>
    <row r="56" spans="1:19" x14ac:dyDescent="0.15">
      <c r="S56" t="str">
        <f t="shared" ca="1" si="1"/>
        <v/>
      </c>
    </row>
    <row r="57" spans="1:19" x14ac:dyDescent="0.15">
      <c r="S57" t="str">
        <f t="shared" ca="1" si="1"/>
        <v/>
      </c>
    </row>
    <row r="58" spans="1:19" x14ac:dyDescent="0.15">
      <c r="S58" t="str">
        <f t="shared" ca="1" si="1"/>
        <v/>
      </c>
    </row>
    <row r="59" spans="1:19" x14ac:dyDescent="0.15">
      <c r="S59" t="str">
        <f t="shared" ca="1" si="1"/>
        <v/>
      </c>
    </row>
    <row r="60" spans="1:19" x14ac:dyDescent="0.15">
      <c r="S60" t="str">
        <f t="shared" ca="1" si="1"/>
        <v/>
      </c>
    </row>
    <row r="61" spans="1:19" x14ac:dyDescent="0.15">
      <c r="S61" t="str">
        <f t="shared" ca="1" si="1"/>
        <v/>
      </c>
    </row>
    <row r="62" spans="1:19" x14ac:dyDescent="0.15">
      <c r="S62" t="str">
        <f t="shared" ca="1" si="1"/>
        <v/>
      </c>
    </row>
    <row r="63" spans="1:19" x14ac:dyDescent="0.15">
      <c r="S63" t="str">
        <f t="shared" ca="1" si="1"/>
        <v/>
      </c>
    </row>
    <row r="64" spans="1:19" x14ac:dyDescent="0.15">
      <c r="S64" t="str">
        <f t="shared" ca="1" si="1"/>
        <v/>
      </c>
    </row>
    <row r="65" spans="19:19" x14ac:dyDescent="0.15">
      <c r="S65" t="str">
        <f t="shared" ca="1" si="1"/>
        <v/>
      </c>
    </row>
    <row r="66" spans="19:19" x14ac:dyDescent="0.15">
      <c r="S66" t="str">
        <f t="shared" ca="1" si="1"/>
        <v/>
      </c>
    </row>
    <row r="67" spans="19:19" x14ac:dyDescent="0.15">
      <c r="S67" t="str">
        <f t="shared" ca="1" si="1"/>
        <v/>
      </c>
    </row>
    <row r="68" spans="19:19" x14ac:dyDescent="0.15">
      <c r="S68" t="str">
        <f t="shared" ca="1" si="1"/>
        <v/>
      </c>
    </row>
    <row r="69" spans="19:19" x14ac:dyDescent="0.15">
      <c r="S69" t="str">
        <f t="shared" ca="1" si="1"/>
        <v/>
      </c>
    </row>
    <row r="70" spans="19:19" x14ac:dyDescent="0.15">
      <c r="S70" t="str">
        <f t="shared" ca="1" si="1"/>
        <v/>
      </c>
    </row>
    <row r="71" spans="19:19" x14ac:dyDescent="0.15">
      <c r="S71" t="str">
        <f t="shared" ca="1" si="1"/>
        <v/>
      </c>
    </row>
    <row r="72" spans="19:19" x14ac:dyDescent="0.15">
      <c r="S72" t="str">
        <f t="shared" ca="1" si="1"/>
        <v/>
      </c>
    </row>
    <row r="73" spans="19:19" x14ac:dyDescent="0.15">
      <c r="S73" t="str">
        <f t="shared" ca="1" si="1"/>
        <v/>
      </c>
    </row>
    <row r="74" spans="19:19" x14ac:dyDescent="0.15">
      <c r="S74" t="str">
        <f t="shared" ref="S74:S105" ca="1" si="2">IF($R74="","",IF(AND(IF(OR(ISNUMBER(D74),D74="-"),ABS(N(D74)-(IF(ISNUMBER(SEARCH(":",SUBSTITUTE($R74," ",""))),SUM(INDIRECT("D"&amp;LEFT(SUBSTITUTE($R74," ",""),SEARCH(":",SUBSTITUTE($R74," ",""))-1)&amp;":D"&amp;MID(SUBSTITUTE($R74," ",""),SEARCH(":",SUBSTITUTE($R74," ",""))+1,10))),SUMPRODUCT(--ISNUMBER(SEARCH(","&amp;ROW(D$10:D$209)&amp;",",","&amp;SUBSTITUTE($R74," ","")&amp;",")),D$10:D$209)-SUMPRODUCT(--ISNUMBER(SEARCH(",-"&amp;ROW(D$10:D$209)&amp;",",","&amp;SUBSTITUTE($R74," ","")&amp;",")),D$10:D$209))))&lt;=1,TRUE()),IF(OR(ISNUMBER(E74),E74="-"),ABS(N(E74)-(IF(ISNUMBER(SEARCH(":",SUBSTITUTE($R74," ",""))),SUM(INDIRECT("E"&amp;LEFT(SUBSTITUTE($R74," ",""),SEARCH(":",SUBSTITUTE($R74," ",""))-1)&amp;":E"&amp;MID(SUBSTITUTE($R74," ",""),SEARCH(":",SUBSTITUTE($R74," ",""))+1,10))),SUMPRODUCT(--ISNUMBER(SEARCH(","&amp;ROW(E$10:E$209)&amp;",",","&amp;SUBSTITUTE($R74," ","")&amp;",")),E$10:E$209)-SUMPRODUCT(--ISNUMBER(SEARCH(",-"&amp;ROW(E$10:E$209)&amp;",",","&amp;SUBSTITUTE($R74," ","")&amp;",")),E$10:E$209))))&lt;=1,TRUE())),"✓","✗"))</f>
        <v/>
      </c>
    </row>
    <row r="75" spans="19:19" x14ac:dyDescent="0.15">
      <c r="S75" t="str">
        <f t="shared" ca="1" si="2"/>
        <v/>
      </c>
    </row>
    <row r="76" spans="19:19" x14ac:dyDescent="0.15">
      <c r="S76" t="str">
        <f t="shared" ca="1" si="2"/>
        <v/>
      </c>
    </row>
    <row r="77" spans="19:19" x14ac:dyDescent="0.15">
      <c r="S77" t="str">
        <f t="shared" ca="1" si="2"/>
        <v/>
      </c>
    </row>
    <row r="78" spans="19:19" x14ac:dyDescent="0.15">
      <c r="S78" t="str">
        <f t="shared" ca="1" si="2"/>
        <v/>
      </c>
    </row>
    <row r="79" spans="19:19" x14ac:dyDescent="0.15">
      <c r="S79" t="str">
        <f t="shared" ca="1" si="2"/>
        <v/>
      </c>
    </row>
    <row r="80" spans="19:19" x14ac:dyDescent="0.15">
      <c r="S80" t="str">
        <f t="shared" ca="1" si="2"/>
        <v/>
      </c>
    </row>
    <row r="81" spans="19:19" x14ac:dyDescent="0.15">
      <c r="S81" t="str">
        <f t="shared" ca="1" si="2"/>
        <v/>
      </c>
    </row>
    <row r="82" spans="19:19" x14ac:dyDescent="0.15">
      <c r="S82" t="str">
        <f t="shared" ca="1" si="2"/>
        <v/>
      </c>
    </row>
    <row r="83" spans="19:19" x14ac:dyDescent="0.15">
      <c r="S83" t="str">
        <f t="shared" ca="1" si="2"/>
        <v/>
      </c>
    </row>
    <row r="84" spans="19:19" x14ac:dyDescent="0.15">
      <c r="S84" t="str">
        <f t="shared" ca="1" si="2"/>
        <v/>
      </c>
    </row>
    <row r="85" spans="19:19" x14ac:dyDescent="0.15">
      <c r="S85" t="str">
        <f t="shared" ca="1" si="2"/>
        <v/>
      </c>
    </row>
    <row r="86" spans="19:19" x14ac:dyDescent="0.15">
      <c r="S86" t="str">
        <f t="shared" ca="1" si="2"/>
        <v/>
      </c>
    </row>
    <row r="87" spans="19:19" x14ac:dyDescent="0.15">
      <c r="S87" t="str">
        <f t="shared" ca="1" si="2"/>
        <v/>
      </c>
    </row>
    <row r="88" spans="19:19" x14ac:dyDescent="0.15">
      <c r="S88" t="str">
        <f t="shared" ca="1" si="2"/>
        <v/>
      </c>
    </row>
    <row r="89" spans="19:19" x14ac:dyDescent="0.15">
      <c r="S89" t="str">
        <f t="shared" ca="1" si="2"/>
        <v/>
      </c>
    </row>
    <row r="90" spans="19:19" x14ac:dyDescent="0.15">
      <c r="S90" t="str">
        <f t="shared" ca="1" si="2"/>
        <v/>
      </c>
    </row>
    <row r="91" spans="19:19" x14ac:dyDescent="0.15">
      <c r="S91" t="str">
        <f t="shared" ca="1" si="2"/>
        <v/>
      </c>
    </row>
    <row r="92" spans="19:19" x14ac:dyDescent="0.15">
      <c r="S92" t="str">
        <f t="shared" ca="1" si="2"/>
        <v/>
      </c>
    </row>
    <row r="93" spans="19:19" x14ac:dyDescent="0.15">
      <c r="S93" t="str">
        <f t="shared" ca="1" si="2"/>
        <v/>
      </c>
    </row>
    <row r="94" spans="19:19" x14ac:dyDescent="0.15">
      <c r="S94" t="str">
        <f t="shared" ca="1" si="2"/>
        <v/>
      </c>
    </row>
    <row r="95" spans="19:19" x14ac:dyDescent="0.15">
      <c r="S95" t="str">
        <f t="shared" ca="1" si="2"/>
        <v/>
      </c>
    </row>
    <row r="96" spans="19:19" x14ac:dyDescent="0.15">
      <c r="S96" t="str">
        <f t="shared" ca="1" si="2"/>
        <v/>
      </c>
    </row>
    <row r="97" spans="19:19" x14ac:dyDescent="0.15">
      <c r="S97" t="str">
        <f t="shared" ca="1" si="2"/>
        <v/>
      </c>
    </row>
    <row r="98" spans="19:19" x14ac:dyDescent="0.15">
      <c r="S98" t="str">
        <f t="shared" ca="1" si="2"/>
        <v/>
      </c>
    </row>
    <row r="99" spans="19:19" x14ac:dyDescent="0.15">
      <c r="S99" t="str">
        <f t="shared" ca="1" si="2"/>
        <v/>
      </c>
    </row>
    <row r="100" spans="19:19" x14ac:dyDescent="0.15">
      <c r="S100" t="str">
        <f t="shared" ca="1" si="2"/>
        <v/>
      </c>
    </row>
    <row r="101" spans="19:19" x14ac:dyDescent="0.15">
      <c r="S101" t="str">
        <f t="shared" ca="1" si="2"/>
        <v/>
      </c>
    </row>
    <row r="102" spans="19:19" x14ac:dyDescent="0.15">
      <c r="S102" t="str">
        <f t="shared" ca="1" si="2"/>
        <v/>
      </c>
    </row>
    <row r="103" spans="19:19" x14ac:dyDescent="0.15">
      <c r="S103" t="str">
        <f t="shared" ca="1" si="2"/>
        <v/>
      </c>
    </row>
    <row r="104" spans="19:19" x14ac:dyDescent="0.15">
      <c r="S104" t="str">
        <f t="shared" ca="1" si="2"/>
        <v/>
      </c>
    </row>
    <row r="105" spans="19:19" x14ac:dyDescent="0.15">
      <c r="S105" t="str">
        <f t="shared" ca="1" si="2"/>
        <v/>
      </c>
    </row>
    <row r="106" spans="19:19" x14ac:dyDescent="0.15">
      <c r="S106" t="str">
        <f t="shared" ref="S106:S137" ca="1" si="3">IF($R106="","",IF(AND(IF(OR(ISNUMBER(D106),D106="-"),ABS(N(D106)-(IF(ISNUMBER(SEARCH(":",SUBSTITUTE($R106," ",""))),SUM(INDIRECT("D"&amp;LEFT(SUBSTITUTE($R106," ",""),SEARCH(":",SUBSTITUTE($R106," ",""))-1)&amp;":D"&amp;MID(SUBSTITUTE($R106," ",""),SEARCH(":",SUBSTITUTE($R106," ",""))+1,10))),SUMPRODUCT(--ISNUMBER(SEARCH(","&amp;ROW(D$10:D$209)&amp;",",","&amp;SUBSTITUTE($R106," ","")&amp;",")),D$10:D$209)-SUMPRODUCT(--ISNUMBER(SEARCH(",-"&amp;ROW(D$10:D$209)&amp;",",","&amp;SUBSTITUTE($R106," ","")&amp;",")),D$10:D$209))))&lt;=1,TRUE()),IF(OR(ISNUMBER(E106),E106="-"),ABS(N(E106)-(IF(ISNUMBER(SEARCH(":",SUBSTITUTE($R106," ",""))),SUM(INDIRECT("E"&amp;LEFT(SUBSTITUTE($R106," ",""),SEARCH(":",SUBSTITUTE($R106," ",""))-1)&amp;":E"&amp;MID(SUBSTITUTE($R106," ",""),SEARCH(":",SUBSTITUTE($R106," ",""))+1,10))),SUMPRODUCT(--ISNUMBER(SEARCH(","&amp;ROW(E$10:E$209)&amp;",",","&amp;SUBSTITUTE($R106," ","")&amp;",")),E$10:E$209)-SUMPRODUCT(--ISNUMBER(SEARCH(",-"&amp;ROW(E$10:E$209)&amp;",",","&amp;SUBSTITUTE($R106," ","")&amp;",")),E$10:E$209))))&lt;=1,TRUE())),"✓","✗"))</f>
        <v/>
      </c>
    </row>
    <row r="107" spans="19:19" x14ac:dyDescent="0.15">
      <c r="S107" t="str">
        <f t="shared" ca="1" si="3"/>
        <v/>
      </c>
    </row>
    <row r="108" spans="19:19" x14ac:dyDescent="0.15">
      <c r="S108" t="str">
        <f t="shared" ca="1" si="3"/>
        <v/>
      </c>
    </row>
    <row r="109" spans="19:19" x14ac:dyDescent="0.15">
      <c r="S109" t="str">
        <f t="shared" ca="1" si="3"/>
        <v/>
      </c>
    </row>
    <row r="110" spans="19:19" x14ac:dyDescent="0.15">
      <c r="S110" t="str">
        <f t="shared" ca="1" si="3"/>
        <v/>
      </c>
    </row>
    <row r="111" spans="19:19" x14ac:dyDescent="0.15">
      <c r="S111" t="str">
        <f t="shared" ca="1" si="3"/>
        <v/>
      </c>
    </row>
    <row r="112" spans="19:19" x14ac:dyDescent="0.15">
      <c r="S112" t="str">
        <f t="shared" ca="1" si="3"/>
        <v/>
      </c>
    </row>
    <row r="113" spans="19:19" x14ac:dyDescent="0.15">
      <c r="S113" t="str">
        <f t="shared" ca="1" si="3"/>
        <v/>
      </c>
    </row>
    <row r="114" spans="19:19" x14ac:dyDescent="0.15">
      <c r="S114" t="str">
        <f t="shared" ca="1" si="3"/>
        <v/>
      </c>
    </row>
    <row r="115" spans="19:19" x14ac:dyDescent="0.15">
      <c r="S115" t="str">
        <f t="shared" ca="1" si="3"/>
        <v/>
      </c>
    </row>
    <row r="116" spans="19:19" x14ac:dyDescent="0.15">
      <c r="S116" t="str">
        <f t="shared" ca="1" si="3"/>
        <v/>
      </c>
    </row>
    <row r="117" spans="19:19" x14ac:dyDescent="0.15">
      <c r="S117" t="str">
        <f t="shared" ca="1" si="3"/>
        <v/>
      </c>
    </row>
    <row r="118" spans="19:19" x14ac:dyDescent="0.15">
      <c r="S118" t="str">
        <f t="shared" ca="1" si="3"/>
        <v/>
      </c>
    </row>
    <row r="119" spans="19:19" x14ac:dyDescent="0.15">
      <c r="S119" t="str">
        <f t="shared" ca="1" si="3"/>
        <v/>
      </c>
    </row>
    <row r="120" spans="19:19" x14ac:dyDescent="0.15">
      <c r="S120" t="str">
        <f t="shared" ca="1" si="3"/>
        <v/>
      </c>
    </row>
    <row r="121" spans="19:19" x14ac:dyDescent="0.15">
      <c r="S121" t="str">
        <f t="shared" ca="1" si="3"/>
        <v/>
      </c>
    </row>
    <row r="122" spans="19:19" x14ac:dyDescent="0.15">
      <c r="S122" t="str">
        <f t="shared" ca="1" si="3"/>
        <v/>
      </c>
    </row>
    <row r="123" spans="19:19" x14ac:dyDescent="0.15">
      <c r="S123" t="str">
        <f t="shared" ca="1" si="3"/>
        <v/>
      </c>
    </row>
    <row r="124" spans="19:19" x14ac:dyDescent="0.15">
      <c r="S124" t="str">
        <f t="shared" ca="1" si="3"/>
        <v/>
      </c>
    </row>
    <row r="125" spans="19:19" x14ac:dyDescent="0.15">
      <c r="S125" t="str">
        <f t="shared" ca="1" si="3"/>
        <v/>
      </c>
    </row>
    <row r="126" spans="19:19" x14ac:dyDescent="0.15">
      <c r="S126" t="str">
        <f t="shared" ca="1" si="3"/>
        <v/>
      </c>
    </row>
    <row r="127" spans="19:19" x14ac:dyDescent="0.15">
      <c r="S127" t="str">
        <f t="shared" ca="1" si="3"/>
        <v/>
      </c>
    </row>
    <row r="128" spans="19:19" x14ac:dyDescent="0.15">
      <c r="S128" t="str">
        <f t="shared" ca="1" si="3"/>
        <v/>
      </c>
    </row>
    <row r="129" spans="19:19" x14ac:dyDescent="0.15">
      <c r="S129" t="str">
        <f t="shared" ca="1" si="3"/>
        <v/>
      </c>
    </row>
    <row r="130" spans="19:19" x14ac:dyDescent="0.15">
      <c r="S130" t="str">
        <f t="shared" ca="1" si="3"/>
        <v/>
      </c>
    </row>
    <row r="131" spans="19:19" x14ac:dyDescent="0.15">
      <c r="S131" t="str">
        <f t="shared" ca="1" si="3"/>
        <v/>
      </c>
    </row>
    <row r="132" spans="19:19" x14ac:dyDescent="0.15">
      <c r="S132" t="str">
        <f t="shared" ca="1" si="3"/>
        <v/>
      </c>
    </row>
    <row r="133" spans="19:19" x14ac:dyDescent="0.15">
      <c r="S133" t="str">
        <f t="shared" ca="1" si="3"/>
        <v/>
      </c>
    </row>
    <row r="134" spans="19:19" x14ac:dyDescent="0.15">
      <c r="S134" t="str">
        <f t="shared" ca="1" si="3"/>
        <v/>
      </c>
    </row>
    <row r="135" spans="19:19" x14ac:dyDescent="0.15">
      <c r="S135" t="str">
        <f t="shared" ca="1" si="3"/>
        <v/>
      </c>
    </row>
    <row r="136" spans="19:19" x14ac:dyDescent="0.15">
      <c r="S136" t="str">
        <f t="shared" ca="1" si="3"/>
        <v/>
      </c>
    </row>
    <row r="137" spans="19:19" x14ac:dyDescent="0.15">
      <c r="S137" t="str">
        <f t="shared" ca="1" si="3"/>
        <v/>
      </c>
    </row>
    <row r="138" spans="19:19" x14ac:dyDescent="0.15">
      <c r="S138" t="str">
        <f t="shared" ref="S138:S169" ca="1" si="4">IF($R138="","",IF(AND(IF(OR(ISNUMBER(D138),D138="-"),ABS(N(D138)-(IF(ISNUMBER(SEARCH(":",SUBSTITUTE($R138," ",""))),SUM(INDIRECT("D"&amp;LEFT(SUBSTITUTE($R138," ",""),SEARCH(":",SUBSTITUTE($R138," ",""))-1)&amp;":D"&amp;MID(SUBSTITUTE($R138," ",""),SEARCH(":",SUBSTITUTE($R138," ",""))+1,10))),SUMPRODUCT(--ISNUMBER(SEARCH(","&amp;ROW(D$10:D$209)&amp;",",","&amp;SUBSTITUTE($R138," ","")&amp;",")),D$10:D$209)-SUMPRODUCT(--ISNUMBER(SEARCH(",-"&amp;ROW(D$10:D$209)&amp;",",","&amp;SUBSTITUTE($R138," ","")&amp;",")),D$10:D$209))))&lt;=1,TRUE()),IF(OR(ISNUMBER(E138),E138="-"),ABS(N(E138)-(IF(ISNUMBER(SEARCH(":",SUBSTITUTE($R138," ",""))),SUM(INDIRECT("E"&amp;LEFT(SUBSTITUTE($R138," ",""),SEARCH(":",SUBSTITUTE($R138," ",""))-1)&amp;":E"&amp;MID(SUBSTITUTE($R138," ",""),SEARCH(":",SUBSTITUTE($R138," ",""))+1,10))),SUMPRODUCT(--ISNUMBER(SEARCH(","&amp;ROW(E$10:E$209)&amp;",",","&amp;SUBSTITUTE($R138," ","")&amp;",")),E$10:E$209)-SUMPRODUCT(--ISNUMBER(SEARCH(",-"&amp;ROW(E$10:E$209)&amp;",",","&amp;SUBSTITUTE($R138," ","")&amp;",")),E$10:E$209))))&lt;=1,TRUE())),"✓","✗"))</f>
        <v/>
      </c>
    </row>
    <row r="139" spans="19:19" x14ac:dyDescent="0.15">
      <c r="S139" t="str">
        <f t="shared" ca="1" si="4"/>
        <v/>
      </c>
    </row>
    <row r="140" spans="19:19" x14ac:dyDescent="0.15">
      <c r="S140" t="str">
        <f t="shared" ca="1" si="4"/>
        <v/>
      </c>
    </row>
    <row r="141" spans="19:19" x14ac:dyDescent="0.15">
      <c r="S141" t="str">
        <f t="shared" ca="1" si="4"/>
        <v/>
      </c>
    </row>
    <row r="142" spans="19:19" x14ac:dyDescent="0.15">
      <c r="S142" t="str">
        <f t="shared" ca="1" si="4"/>
        <v/>
      </c>
    </row>
    <row r="143" spans="19:19" x14ac:dyDescent="0.15">
      <c r="S143" t="str">
        <f t="shared" ca="1" si="4"/>
        <v/>
      </c>
    </row>
    <row r="144" spans="19:19" x14ac:dyDescent="0.15">
      <c r="S144" t="str">
        <f t="shared" ca="1" si="4"/>
        <v/>
      </c>
    </row>
    <row r="145" spans="19:19" x14ac:dyDescent="0.15">
      <c r="S145" t="str">
        <f t="shared" ca="1" si="4"/>
        <v/>
      </c>
    </row>
    <row r="146" spans="19:19" x14ac:dyDescent="0.15">
      <c r="S146" t="str">
        <f t="shared" ca="1" si="4"/>
        <v/>
      </c>
    </row>
    <row r="147" spans="19:19" x14ac:dyDescent="0.15">
      <c r="S147" t="str">
        <f t="shared" ca="1" si="4"/>
        <v/>
      </c>
    </row>
    <row r="148" spans="19:19" x14ac:dyDescent="0.15">
      <c r="S148" t="str">
        <f t="shared" ca="1" si="4"/>
        <v/>
      </c>
    </row>
    <row r="149" spans="19:19" x14ac:dyDescent="0.15">
      <c r="S149" t="str">
        <f t="shared" ca="1" si="4"/>
        <v/>
      </c>
    </row>
    <row r="150" spans="19:19" x14ac:dyDescent="0.15">
      <c r="S150" t="str">
        <f t="shared" ca="1" si="4"/>
        <v/>
      </c>
    </row>
    <row r="151" spans="19:19" x14ac:dyDescent="0.15">
      <c r="S151" t="str">
        <f t="shared" ca="1" si="4"/>
        <v/>
      </c>
    </row>
    <row r="152" spans="19:19" x14ac:dyDescent="0.15">
      <c r="S152" t="str">
        <f t="shared" ca="1" si="4"/>
        <v/>
      </c>
    </row>
    <row r="153" spans="19:19" x14ac:dyDescent="0.15">
      <c r="S153" t="str">
        <f t="shared" ca="1" si="4"/>
        <v/>
      </c>
    </row>
    <row r="154" spans="19:19" x14ac:dyDescent="0.15">
      <c r="S154" t="str">
        <f t="shared" ca="1" si="4"/>
        <v/>
      </c>
    </row>
    <row r="155" spans="19:19" x14ac:dyDescent="0.15">
      <c r="S155" t="str">
        <f t="shared" ca="1" si="4"/>
        <v/>
      </c>
    </row>
    <row r="156" spans="19:19" x14ac:dyDescent="0.15">
      <c r="S156" t="str">
        <f t="shared" ca="1" si="4"/>
        <v/>
      </c>
    </row>
    <row r="157" spans="19:19" x14ac:dyDescent="0.15">
      <c r="S157" t="str">
        <f t="shared" ca="1" si="4"/>
        <v/>
      </c>
    </row>
    <row r="158" spans="19:19" x14ac:dyDescent="0.15">
      <c r="S158" t="str">
        <f t="shared" ca="1" si="4"/>
        <v/>
      </c>
    </row>
    <row r="159" spans="19:19" x14ac:dyDescent="0.15">
      <c r="S159" t="str">
        <f t="shared" ca="1" si="4"/>
        <v/>
      </c>
    </row>
    <row r="160" spans="19:19" x14ac:dyDescent="0.15">
      <c r="S160" t="str">
        <f t="shared" ca="1" si="4"/>
        <v/>
      </c>
    </row>
    <row r="161" spans="19:19" x14ac:dyDescent="0.15">
      <c r="S161" t="str">
        <f t="shared" ca="1" si="4"/>
        <v/>
      </c>
    </row>
    <row r="162" spans="19:19" x14ac:dyDescent="0.15">
      <c r="S162" t="str">
        <f t="shared" ca="1" si="4"/>
        <v/>
      </c>
    </row>
    <row r="163" spans="19:19" x14ac:dyDescent="0.15">
      <c r="S163" t="str">
        <f t="shared" ca="1" si="4"/>
        <v/>
      </c>
    </row>
    <row r="164" spans="19:19" x14ac:dyDescent="0.15">
      <c r="S164" t="str">
        <f t="shared" ca="1" si="4"/>
        <v/>
      </c>
    </row>
    <row r="165" spans="19:19" x14ac:dyDescent="0.15">
      <c r="S165" t="str">
        <f t="shared" ca="1" si="4"/>
        <v/>
      </c>
    </row>
    <row r="166" spans="19:19" x14ac:dyDescent="0.15">
      <c r="S166" t="str">
        <f t="shared" ca="1" si="4"/>
        <v/>
      </c>
    </row>
    <row r="167" spans="19:19" x14ac:dyDescent="0.15">
      <c r="S167" t="str">
        <f t="shared" ca="1" si="4"/>
        <v/>
      </c>
    </row>
    <row r="168" spans="19:19" x14ac:dyDescent="0.15">
      <c r="S168" t="str">
        <f t="shared" ca="1" si="4"/>
        <v/>
      </c>
    </row>
    <row r="169" spans="19:19" x14ac:dyDescent="0.15">
      <c r="S169" t="str">
        <f t="shared" ca="1" si="4"/>
        <v/>
      </c>
    </row>
    <row r="170" spans="19:19" x14ac:dyDescent="0.15">
      <c r="S170" t="str">
        <f t="shared" ref="S170:S201" ca="1" si="5">IF($R170="","",IF(AND(IF(OR(ISNUMBER(D170),D170="-"),ABS(N(D170)-(IF(ISNUMBER(SEARCH(":",SUBSTITUTE($R170," ",""))),SUM(INDIRECT("D"&amp;LEFT(SUBSTITUTE($R170," ",""),SEARCH(":",SUBSTITUTE($R170," ",""))-1)&amp;":D"&amp;MID(SUBSTITUTE($R170," ",""),SEARCH(":",SUBSTITUTE($R170," ",""))+1,10))),SUMPRODUCT(--ISNUMBER(SEARCH(","&amp;ROW(D$10:D$209)&amp;",",","&amp;SUBSTITUTE($R170," ","")&amp;",")),D$10:D$209)-SUMPRODUCT(--ISNUMBER(SEARCH(",-"&amp;ROW(D$10:D$209)&amp;",",","&amp;SUBSTITUTE($R170," ","")&amp;",")),D$10:D$209))))&lt;=1,TRUE()),IF(OR(ISNUMBER(E170),E170="-"),ABS(N(E170)-(IF(ISNUMBER(SEARCH(":",SUBSTITUTE($R170," ",""))),SUM(INDIRECT("E"&amp;LEFT(SUBSTITUTE($R170," ",""),SEARCH(":",SUBSTITUTE($R170," ",""))-1)&amp;":E"&amp;MID(SUBSTITUTE($R170," ",""),SEARCH(":",SUBSTITUTE($R170," ",""))+1,10))),SUMPRODUCT(--ISNUMBER(SEARCH(","&amp;ROW(E$10:E$209)&amp;",",","&amp;SUBSTITUTE($R170," ","")&amp;",")),E$10:E$209)-SUMPRODUCT(--ISNUMBER(SEARCH(",-"&amp;ROW(E$10:E$209)&amp;",",","&amp;SUBSTITUTE($R170," ","")&amp;",")),E$10:E$209))))&lt;=1,TRUE())),"✓","✗"))</f>
        <v/>
      </c>
    </row>
    <row r="171" spans="19:19" x14ac:dyDescent="0.15">
      <c r="S171" t="str">
        <f t="shared" ca="1" si="5"/>
        <v/>
      </c>
    </row>
    <row r="172" spans="19:19" x14ac:dyDescent="0.15">
      <c r="S172" t="str">
        <f t="shared" ca="1" si="5"/>
        <v/>
      </c>
    </row>
    <row r="173" spans="19:19" x14ac:dyDescent="0.15">
      <c r="S173" t="str">
        <f t="shared" ca="1" si="5"/>
        <v/>
      </c>
    </row>
    <row r="174" spans="19:19" x14ac:dyDescent="0.15">
      <c r="S174" t="str">
        <f t="shared" ca="1" si="5"/>
        <v/>
      </c>
    </row>
    <row r="175" spans="19:19" x14ac:dyDescent="0.15">
      <c r="S175" t="str">
        <f t="shared" ca="1" si="5"/>
        <v/>
      </c>
    </row>
    <row r="176" spans="19:19" x14ac:dyDescent="0.15">
      <c r="S176" t="str">
        <f t="shared" ca="1" si="5"/>
        <v/>
      </c>
    </row>
    <row r="177" spans="19:19" x14ac:dyDescent="0.15">
      <c r="S177" t="str">
        <f t="shared" ca="1" si="5"/>
        <v/>
      </c>
    </row>
    <row r="178" spans="19:19" x14ac:dyDescent="0.15">
      <c r="S178" t="str">
        <f t="shared" ca="1" si="5"/>
        <v/>
      </c>
    </row>
    <row r="179" spans="19:19" x14ac:dyDescent="0.15">
      <c r="S179" t="str">
        <f t="shared" ca="1" si="5"/>
        <v/>
      </c>
    </row>
    <row r="180" spans="19:19" x14ac:dyDescent="0.15">
      <c r="S180" t="str">
        <f t="shared" ca="1" si="5"/>
        <v/>
      </c>
    </row>
    <row r="181" spans="19:19" x14ac:dyDescent="0.15">
      <c r="S181" t="str">
        <f t="shared" ca="1" si="5"/>
        <v/>
      </c>
    </row>
    <row r="182" spans="19:19" x14ac:dyDescent="0.15">
      <c r="S182" t="str">
        <f t="shared" ca="1" si="5"/>
        <v/>
      </c>
    </row>
    <row r="183" spans="19:19" x14ac:dyDescent="0.15">
      <c r="S183" t="str">
        <f t="shared" ca="1" si="5"/>
        <v/>
      </c>
    </row>
    <row r="184" spans="19:19" x14ac:dyDescent="0.15">
      <c r="S184" t="str">
        <f t="shared" ca="1" si="5"/>
        <v/>
      </c>
    </row>
    <row r="185" spans="19:19" x14ac:dyDescent="0.15">
      <c r="S185" t="str">
        <f t="shared" ca="1" si="5"/>
        <v/>
      </c>
    </row>
    <row r="186" spans="19:19" x14ac:dyDescent="0.15">
      <c r="S186" t="str">
        <f t="shared" ca="1" si="5"/>
        <v/>
      </c>
    </row>
    <row r="187" spans="19:19" x14ac:dyDescent="0.15">
      <c r="S187" t="str">
        <f t="shared" ca="1" si="5"/>
        <v/>
      </c>
    </row>
    <row r="188" spans="19:19" x14ac:dyDescent="0.15">
      <c r="S188" t="str">
        <f t="shared" ca="1" si="5"/>
        <v/>
      </c>
    </row>
    <row r="189" spans="19:19" x14ac:dyDescent="0.15">
      <c r="S189" t="str">
        <f t="shared" ca="1" si="5"/>
        <v/>
      </c>
    </row>
    <row r="190" spans="19:19" x14ac:dyDescent="0.15">
      <c r="S190" t="str">
        <f t="shared" ca="1" si="5"/>
        <v/>
      </c>
    </row>
    <row r="191" spans="19:19" x14ac:dyDescent="0.15">
      <c r="S191" t="str">
        <f t="shared" ca="1" si="5"/>
        <v/>
      </c>
    </row>
    <row r="192" spans="19:19" x14ac:dyDescent="0.15">
      <c r="S192" t="str">
        <f t="shared" ca="1" si="5"/>
        <v/>
      </c>
    </row>
    <row r="193" spans="19:19" x14ac:dyDescent="0.15">
      <c r="S193" t="str">
        <f t="shared" ca="1" si="5"/>
        <v/>
      </c>
    </row>
    <row r="194" spans="19:19" x14ac:dyDescent="0.15">
      <c r="S194" t="str">
        <f t="shared" ca="1" si="5"/>
        <v/>
      </c>
    </row>
    <row r="195" spans="19:19" x14ac:dyDescent="0.15">
      <c r="S195" t="str">
        <f t="shared" ca="1" si="5"/>
        <v/>
      </c>
    </row>
    <row r="196" spans="19:19" x14ac:dyDescent="0.15">
      <c r="S196" t="str">
        <f t="shared" ca="1" si="5"/>
        <v/>
      </c>
    </row>
    <row r="197" spans="19:19" x14ac:dyDescent="0.15">
      <c r="S197" t="str">
        <f t="shared" ca="1" si="5"/>
        <v/>
      </c>
    </row>
    <row r="198" spans="19:19" x14ac:dyDescent="0.15">
      <c r="S198" t="str">
        <f t="shared" ca="1" si="5"/>
        <v/>
      </c>
    </row>
    <row r="199" spans="19:19" x14ac:dyDescent="0.15">
      <c r="S199" t="str">
        <f t="shared" ca="1" si="5"/>
        <v/>
      </c>
    </row>
    <row r="200" spans="19:19" x14ac:dyDescent="0.15">
      <c r="S200" t="str">
        <f t="shared" ca="1" si="5"/>
        <v/>
      </c>
    </row>
    <row r="201" spans="19:19" x14ac:dyDescent="0.15">
      <c r="S201" t="str">
        <f t="shared" ca="1" si="5"/>
        <v/>
      </c>
    </row>
    <row r="202" spans="19:19" x14ac:dyDescent="0.15">
      <c r="S202" t="str">
        <f t="shared" ref="S202:S209" ca="1" si="6">IF($R202="","",IF(AND(IF(OR(ISNUMBER(D202),D202="-"),ABS(N(D202)-(IF(ISNUMBER(SEARCH(":",SUBSTITUTE($R202," ",""))),SUM(INDIRECT("D"&amp;LEFT(SUBSTITUTE($R202," ",""),SEARCH(":",SUBSTITUTE($R202," ",""))-1)&amp;":D"&amp;MID(SUBSTITUTE($R202," ",""),SEARCH(":",SUBSTITUTE($R202," ",""))+1,10))),SUMPRODUCT(--ISNUMBER(SEARCH(","&amp;ROW(D$10:D$209)&amp;",",","&amp;SUBSTITUTE($R202," ","")&amp;",")),D$10:D$209)-SUMPRODUCT(--ISNUMBER(SEARCH(",-"&amp;ROW(D$10:D$209)&amp;",",","&amp;SUBSTITUTE($R202," ","")&amp;",")),D$10:D$209))))&lt;=1,TRUE()),IF(OR(ISNUMBER(E202),E202="-"),ABS(N(E202)-(IF(ISNUMBER(SEARCH(":",SUBSTITUTE($R202," ",""))),SUM(INDIRECT("E"&amp;LEFT(SUBSTITUTE($R202," ",""),SEARCH(":",SUBSTITUTE($R202," ",""))-1)&amp;":E"&amp;MID(SUBSTITUTE($R202," ",""),SEARCH(":",SUBSTITUTE($R202," ",""))+1,10))),SUMPRODUCT(--ISNUMBER(SEARCH(","&amp;ROW(E$10:E$209)&amp;",",","&amp;SUBSTITUTE($R202," ","")&amp;",")),E$10:E$209)-SUMPRODUCT(--ISNUMBER(SEARCH(",-"&amp;ROW(E$10:E$209)&amp;",",","&amp;SUBSTITUTE($R202," ","")&amp;",")),E$10:E$209))))&lt;=1,TRUE())),"✓","✗"))</f>
        <v/>
      </c>
    </row>
    <row r="203" spans="19:19" x14ac:dyDescent="0.15">
      <c r="S203" t="str">
        <f t="shared" ca="1" si="6"/>
        <v/>
      </c>
    </row>
    <row r="204" spans="19:19" x14ac:dyDescent="0.15">
      <c r="S204" t="str">
        <f t="shared" ca="1" si="6"/>
        <v/>
      </c>
    </row>
    <row r="205" spans="19:19" x14ac:dyDescent="0.15">
      <c r="S205" t="str">
        <f t="shared" ca="1" si="6"/>
        <v/>
      </c>
    </row>
    <row r="206" spans="19:19" x14ac:dyDescent="0.15">
      <c r="S206" t="str">
        <f t="shared" ca="1" si="6"/>
        <v/>
      </c>
    </row>
    <row r="207" spans="19:19" x14ac:dyDescent="0.15">
      <c r="S207" t="str">
        <f t="shared" ca="1" si="6"/>
        <v/>
      </c>
    </row>
    <row r="208" spans="19:19" x14ac:dyDescent="0.15">
      <c r="S208" t="str">
        <f t="shared" ca="1" si="6"/>
        <v/>
      </c>
    </row>
    <row r="209" spans="19:19" x14ac:dyDescent="0.15">
      <c r="S209" t="str">
        <f t="shared" ca="1" si="6"/>
        <v/>
      </c>
    </row>
  </sheetData>
  <conditionalFormatting sqref="S10:S209">
    <cfRule type="cellIs" dxfId="7" priority="2" operator="equal">
      <formula>"✗"</formula>
    </cfRule>
    <cfRule type="cellIs" dxfId="6" priority="3" operator="equal">
      <formula>"✓"</formula>
    </cfRule>
  </conditionalFormatting>
  <dataValidations count="3">
    <dataValidation type="list" sqref="B1" xr:uid="{00000000-0002-0000-0300-000000000000}">
      <formula1>"financial_position,income,comprehensive_income,income_and_comprehensive_income,changes_in_equity,changes_in_net_assets,cash_flows,other"</formula1>
      <formula2>0</formula2>
    </dataValidation>
    <dataValidation type="list" sqref="B5" xr:uid="{00000000-0002-0000-0300-000001000000}">
      <formula1>"1,1000,1000000"</formula1>
      <formula2>0</formula2>
    </dataValidation>
    <dataValidation type="list" allowBlank="1" sqref="A10:A209" xr:uid="{00000000-0002-0000-0300-000002000000}">
      <formula1>"section,item,subtotal,total"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209"/>
  <sheetViews>
    <sheetView zoomScaleNormal="100" workbookViewId="0">
      <pane xSplit="3" ySplit="9" topLeftCell="D10" activePane="bottomRight" state="frozen"/>
      <selection pane="topRight" activeCell="D1" sqref="D1"/>
      <selection pane="bottomLeft" activeCell="A10" sqref="A10"/>
      <selection pane="bottomRight"/>
    </sheetView>
  </sheetViews>
  <sheetFormatPr baseColWidth="10" defaultColWidth="8.6640625" defaultRowHeight="13" x14ac:dyDescent="0.15"/>
  <cols>
    <col min="1" max="1" width="10" customWidth="1"/>
    <col min="2" max="2" width="52" customWidth="1"/>
    <col min="3" max="3" width="9" customWidth="1"/>
    <col min="4" max="17" width="16" customWidth="1"/>
    <col min="18" max="18" width="14" customWidth="1"/>
    <col min="19" max="19" width="7" customWidth="1"/>
    <col min="20" max="20" width="30" customWidth="1"/>
  </cols>
  <sheetData>
    <row r="1" spans="1:20" ht="15" x14ac:dyDescent="0.2">
      <c r="A1" s="5" t="s">
        <v>44</v>
      </c>
      <c r="B1" s="6" t="s">
        <v>181</v>
      </c>
    </row>
    <row r="2" spans="1:20" ht="15" x14ac:dyDescent="0.2">
      <c r="A2" s="5" t="s">
        <v>46</v>
      </c>
      <c r="B2" s="7" t="s">
        <v>182</v>
      </c>
    </row>
    <row r="3" spans="1:20" ht="15" x14ac:dyDescent="0.2">
      <c r="A3" s="5" t="s">
        <v>48</v>
      </c>
      <c r="B3" s="6" t="s">
        <v>72</v>
      </c>
      <c r="C3" t="s">
        <v>50</v>
      </c>
    </row>
    <row r="4" spans="1:20" ht="15" x14ac:dyDescent="0.2">
      <c r="A4" s="5" t="s">
        <v>51</v>
      </c>
      <c r="B4" s="6" t="s">
        <v>52</v>
      </c>
    </row>
    <row r="5" spans="1:20" ht="15" x14ac:dyDescent="0.2">
      <c r="A5" s="5" t="s">
        <v>53</v>
      </c>
      <c r="B5" s="6">
        <v>1</v>
      </c>
      <c r="C5" t="s">
        <v>54</v>
      </c>
    </row>
    <row r="7" spans="1:20" ht="26.5" customHeight="1" x14ac:dyDescent="0.15">
      <c r="A7" s="8" t="s">
        <v>55</v>
      </c>
      <c r="B7" s="8" t="s">
        <v>56</v>
      </c>
      <c r="C7" s="8" t="s">
        <v>57</v>
      </c>
      <c r="D7" s="12" t="s">
        <v>145</v>
      </c>
      <c r="E7" s="12" t="s">
        <v>183</v>
      </c>
      <c r="F7" s="12" t="s">
        <v>149</v>
      </c>
      <c r="G7" s="12" t="s">
        <v>150</v>
      </c>
      <c r="H7" s="12" t="s">
        <v>151</v>
      </c>
      <c r="I7" s="8"/>
      <c r="J7" s="8"/>
      <c r="K7" s="8"/>
      <c r="L7" s="8"/>
      <c r="M7" s="8"/>
      <c r="N7" s="8"/>
      <c r="O7" s="8"/>
      <c r="P7" s="8"/>
      <c r="Q7" s="8"/>
      <c r="R7" s="8" t="s">
        <v>60</v>
      </c>
      <c r="S7" s="8" t="s">
        <v>61</v>
      </c>
      <c r="T7" s="8" t="s">
        <v>43</v>
      </c>
    </row>
    <row r="8" spans="1:20" ht="15" customHeight="1" x14ac:dyDescent="0.2">
      <c r="C8" t="s">
        <v>62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</row>
    <row r="9" spans="1:20" ht="15" customHeight="1" x14ac:dyDescent="0.2">
      <c r="C9" t="s">
        <v>64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</row>
    <row r="10" spans="1:20" ht="15" customHeight="1" x14ac:dyDescent="0.2">
      <c r="A10" t="s">
        <v>65</v>
      </c>
      <c r="B10" s="9" t="s">
        <v>184</v>
      </c>
      <c r="D10" s="10">
        <v>353571450</v>
      </c>
      <c r="E10" s="10">
        <v>106071435</v>
      </c>
      <c r="F10" s="10">
        <v>90788021</v>
      </c>
      <c r="G10" s="10">
        <v>-243595177</v>
      </c>
      <c r="H10" s="10">
        <v>306835729</v>
      </c>
      <c r="S10" t="str">
        <f t="shared" ref="S10:S41" ca="1" si="0">IF($R10="","",IF(AND(IF(OR(ISNUMBER(D10),D10="-"),ABS(N(D10)-(IF(ISNUMBER(SEARCH(":",SUBSTITUTE($R10," ",""))),SUM(INDIRECT("D"&amp;LEFT(SUBSTITUTE($R10," ",""),SEARCH(":",SUBSTITUTE($R10," ",""))-1)&amp;":D"&amp;MID(SUBSTITUTE($R10," ",""),SEARCH(":",SUBSTITUTE($R10," ",""))+1,10))),SUMPRODUCT(--ISNUMBER(SEARCH(","&amp;ROW(D$10:D$209)&amp;",",","&amp;SUBSTITUTE($R10," ","")&amp;",")),D$10:D$209)-SUMPRODUCT(--ISNUMBER(SEARCH(",-"&amp;ROW(D$10:D$209)&amp;",",","&amp;SUBSTITUTE($R10," ","")&amp;",")),D$10:D$209))))&lt;=1,TRUE()),IF(OR(ISNUMBER(E10),E10="-"),ABS(N(E10)-(IF(ISNUMBER(SEARCH(":",SUBSTITUTE($R10," ",""))),SUM(INDIRECT("E"&amp;LEFT(SUBSTITUTE($R10," ",""),SEARCH(":",SUBSTITUTE($R10," ",""))-1)&amp;":E"&amp;MID(SUBSTITUTE($R10," ",""),SEARCH(":",SUBSTITUTE($R10," ",""))+1,10))),SUMPRODUCT(--ISNUMBER(SEARCH(","&amp;ROW(E$10:E$209)&amp;",",","&amp;SUBSTITUTE($R10," ","")&amp;",")),E$10:E$209)-SUMPRODUCT(--ISNUMBER(SEARCH(",-"&amp;ROW(E$10:E$209)&amp;",",","&amp;SUBSTITUTE($R10," ","")&amp;",")),E$10:E$209))))&lt;=1,TRUE()),IF(OR(ISNUMBER(F10),F10="-"),ABS(N(F10)-(IF(ISNUMBER(SEARCH(":",SUBSTITUTE($R10," ",""))),SUM(INDIRECT("F"&amp;LEFT(SUBSTITUTE($R10," ",""),SEARCH(":",SUBSTITUTE($R10," ",""))-1)&amp;":F"&amp;MID(SUBSTITUTE($R10," ",""),SEARCH(":",SUBSTITUTE($R10," ",""))+1,10))),SUMPRODUCT(--ISNUMBER(SEARCH(","&amp;ROW(F$10:F$209)&amp;",",","&amp;SUBSTITUTE($R10," ","")&amp;",")),F$10:F$209)-SUMPRODUCT(--ISNUMBER(SEARCH(",-"&amp;ROW(F$10:F$209)&amp;",",","&amp;SUBSTITUTE($R10," ","")&amp;",")),F$10:F$209))))&lt;=1,TRUE()),IF(OR(ISNUMBER(G10),G10="-"),ABS(N(G10)-(IF(ISNUMBER(SEARCH(":",SUBSTITUTE($R10," ",""))),SUM(INDIRECT("G"&amp;LEFT(SUBSTITUTE($R10," ",""),SEARCH(":",SUBSTITUTE($R10," ",""))-1)&amp;":G"&amp;MID(SUBSTITUTE($R10," ",""),SEARCH(":",SUBSTITUTE($R10," ",""))+1,10))),SUMPRODUCT(--ISNUMBER(SEARCH(","&amp;ROW(G$10:G$209)&amp;",",","&amp;SUBSTITUTE($R10," ","")&amp;",")),G$10:G$209)-SUMPRODUCT(--ISNUMBER(SEARCH(",-"&amp;ROW(G$10:G$209)&amp;",",","&amp;SUBSTITUTE($R10," ","")&amp;",")),G$10:G$209))))&lt;=1,TRUE()),IF(OR(ISNUMBER(H10),H10="-"),ABS(N(H10)-(IF(ISNUMBER(SEARCH(":",SUBSTITUTE($R10," ",""))),SUM(INDIRECT("H"&amp;LEFT(SUBSTITUTE($R10," ",""),SEARCH(":",SUBSTITUTE($R10," ",""))-1)&amp;":H"&amp;MID(SUBSTITUTE($R10," ",""),SEARCH(":",SUBSTITUTE($R10," ",""))+1,10))),SUMPRODUCT(--ISNUMBER(SEARCH(","&amp;ROW(H$10:H$209)&amp;",",","&amp;SUBSTITUTE($R10," ","")&amp;",")),H$10:H$209)-SUMPRODUCT(--ISNUMBER(SEARCH(",-"&amp;ROW(H$10:H$209)&amp;",",","&amp;SUBSTITUTE($R10," ","")&amp;",")),H$10:H$209))))&lt;=1,TRUE())),"✓","✗"))</f>
        <v/>
      </c>
    </row>
    <row r="11" spans="1:20" ht="15" customHeight="1" x14ac:dyDescent="0.2">
      <c r="A11" t="s">
        <v>65</v>
      </c>
      <c r="B11" s="9" t="s">
        <v>185</v>
      </c>
      <c r="D11" s="10" t="s">
        <v>80</v>
      </c>
      <c r="E11" s="10" t="s">
        <v>80</v>
      </c>
      <c r="F11" s="10">
        <v>44667304</v>
      </c>
      <c r="G11" s="10" t="s">
        <v>80</v>
      </c>
      <c r="H11" s="10">
        <v>44667304</v>
      </c>
      <c r="S11" t="str">
        <f t="shared" ca="1" si="0"/>
        <v/>
      </c>
    </row>
    <row r="12" spans="1:20" ht="15" customHeight="1" x14ac:dyDescent="0.2">
      <c r="A12" t="s">
        <v>65</v>
      </c>
      <c r="B12" s="9" t="s">
        <v>186</v>
      </c>
      <c r="D12" s="10" t="s">
        <v>80</v>
      </c>
      <c r="E12" s="10" t="s">
        <v>80</v>
      </c>
      <c r="F12" s="10">
        <v>812800</v>
      </c>
      <c r="G12" s="10">
        <v>-62720925</v>
      </c>
      <c r="H12" s="10">
        <v>-61908125</v>
      </c>
      <c r="S12" t="str">
        <f t="shared" ca="1" si="0"/>
        <v/>
      </c>
    </row>
    <row r="13" spans="1:20" ht="66" customHeight="1" x14ac:dyDescent="0.2">
      <c r="A13" t="s">
        <v>70</v>
      </c>
      <c r="B13" s="9" t="s">
        <v>187</v>
      </c>
      <c r="D13" s="10" t="s">
        <v>80</v>
      </c>
      <c r="E13" s="10" t="s">
        <v>80</v>
      </c>
      <c r="F13" s="10">
        <v>45480104</v>
      </c>
      <c r="G13" s="10">
        <v>-62720925</v>
      </c>
      <c r="H13" s="10">
        <v>-17240821</v>
      </c>
      <c r="R13" t="s">
        <v>188</v>
      </c>
      <c r="S13" t="str">
        <f t="shared" ca="1" si="0"/>
        <v>✓</v>
      </c>
      <c r="T13" s="4" t="s">
        <v>189</v>
      </c>
    </row>
    <row r="14" spans="1:20" ht="15" customHeight="1" x14ac:dyDescent="0.2">
      <c r="A14" t="s">
        <v>65</v>
      </c>
      <c r="B14" s="9" t="s">
        <v>190</v>
      </c>
      <c r="D14" s="10" t="s">
        <v>80</v>
      </c>
      <c r="E14" s="10">
        <v>-106071435</v>
      </c>
      <c r="F14" s="10">
        <v>106071435</v>
      </c>
      <c r="G14" s="10" t="s">
        <v>80</v>
      </c>
      <c r="H14" s="10" t="s">
        <v>80</v>
      </c>
      <c r="S14" t="str">
        <f t="shared" ca="1" si="0"/>
        <v/>
      </c>
    </row>
    <row r="15" spans="1:20" ht="15" customHeight="1" x14ac:dyDescent="0.2">
      <c r="A15" t="s">
        <v>95</v>
      </c>
      <c r="B15" s="9" t="s">
        <v>191</v>
      </c>
      <c r="D15" s="10">
        <v>353571450</v>
      </c>
      <c r="E15" s="10" t="s">
        <v>80</v>
      </c>
      <c r="F15" s="10">
        <v>242339560</v>
      </c>
      <c r="G15" s="10">
        <v>-306316102</v>
      </c>
      <c r="H15" s="10">
        <v>289594908</v>
      </c>
      <c r="R15" t="s">
        <v>192</v>
      </c>
      <c r="S15" t="str">
        <f t="shared" ca="1" si="0"/>
        <v>✓</v>
      </c>
    </row>
    <row r="16" spans="1:20" ht="15" customHeight="1" x14ac:dyDescent="0.2">
      <c r="A16" t="s">
        <v>65</v>
      </c>
      <c r="B16" s="9" t="s">
        <v>193</v>
      </c>
      <c r="D16" s="10">
        <v>353571450</v>
      </c>
      <c r="E16" s="10">
        <v>106071435</v>
      </c>
      <c r="F16" s="10">
        <v>190257853</v>
      </c>
      <c r="G16" s="10">
        <v>-216229398</v>
      </c>
      <c r="H16" s="10">
        <v>433671340</v>
      </c>
      <c r="S16" t="str">
        <f t="shared" ca="1" si="0"/>
        <v/>
      </c>
    </row>
    <row r="17" spans="1:19" ht="15" customHeight="1" x14ac:dyDescent="0.2">
      <c r="A17" t="s">
        <v>65</v>
      </c>
      <c r="B17" s="9" t="s">
        <v>194</v>
      </c>
      <c r="D17" s="10" t="s">
        <v>80</v>
      </c>
      <c r="E17" s="10" t="s">
        <v>80</v>
      </c>
      <c r="F17" s="10">
        <v>-98011332</v>
      </c>
      <c r="G17" s="10" t="s">
        <v>80</v>
      </c>
      <c r="H17" s="10">
        <v>-98011332</v>
      </c>
      <c r="S17" t="str">
        <f t="shared" ca="1" si="0"/>
        <v/>
      </c>
    </row>
    <row r="18" spans="1:19" ht="15" customHeight="1" x14ac:dyDescent="0.2">
      <c r="A18" t="s">
        <v>65</v>
      </c>
      <c r="B18" s="9" t="s">
        <v>195</v>
      </c>
      <c r="D18" s="10" t="s">
        <v>80</v>
      </c>
      <c r="E18" s="10" t="s">
        <v>80</v>
      </c>
      <c r="F18" s="10">
        <v>-1458500</v>
      </c>
      <c r="G18" s="10">
        <v>-27365779</v>
      </c>
      <c r="H18" s="10">
        <v>-28824279</v>
      </c>
      <c r="S18" t="str">
        <f t="shared" ca="1" si="0"/>
        <v/>
      </c>
    </row>
    <row r="19" spans="1:19" ht="15" customHeight="1" x14ac:dyDescent="0.2">
      <c r="A19" t="s">
        <v>70</v>
      </c>
      <c r="B19" s="9" t="s">
        <v>107</v>
      </c>
      <c r="D19" s="10" t="s">
        <v>80</v>
      </c>
      <c r="E19" s="10" t="s">
        <v>80</v>
      </c>
      <c r="F19" s="10">
        <v>-99469832</v>
      </c>
      <c r="G19" s="10">
        <v>-27365779</v>
      </c>
      <c r="H19" s="10">
        <v>-126835611</v>
      </c>
      <c r="R19" t="s">
        <v>196</v>
      </c>
      <c r="S19" t="str">
        <f t="shared" ca="1" si="0"/>
        <v>✓</v>
      </c>
    </row>
    <row r="20" spans="1:19" ht="15" customHeight="1" x14ac:dyDescent="0.2">
      <c r="A20" t="s">
        <v>95</v>
      </c>
      <c r="B20" s="9" t="s">
        <v>197</v>
      </c>
      <c r="D20" s="10">
        <v>353571450</v>
      </c>
      <c r="E20" s="10">
        <v>106071435</v>
      </c>
      <c r="F20" s="10">
        <v>90788021</v>
      </c>
      <c r="G20" s="10">
        <v>-243595177</v>
      </c>
      <c r="H20" s="10">
        <v>306835729</v>
      </c>
      <c r="R20" t="s">
        <v>198</v>
      </c>
      <c r="S20" t="str">
        <f t="shared" ca="1" si="0"/>
        <v>✓</v>
      </c>
    </row>
    <row r="21" spans="1:19" x14ac:dyDescent="0.15">
      <c r="S21" t="str">
        <f t="shared" ca="1" si="0"/>
        <v/>
      </c>
    </row>
    <row r="22" spans="1:19" x14ac:dyDescent="0.15">
      <c r="S22" t="str">
        <f t="shared" ca="1" si="0"/>
        <v/>
      </c>
    </row>
    <row r="23" spans="1:19" x14ac:dyDescent="0.15">
      <c r="S23" t="str">
        <f t="shared" ca="1" si="0"/>
        <v/>
      </c>
    </row>
    <row r="24" spans="1:19" x14ac:dyDescent="0.15">
      <c r="S24" t="str">
        <f t="shared" ca="1" si="0"/>
        <v/>
      </c>
    </row>
    <row r="25" spans="1:19" x14ac:dyDescent="0.15">
      <c r="S25" t="str">
        <f t="shared" ca="1" si="0"/>
        <v/>
      </c>
    </row>
    <row r="26" spans="1:19" x14ac:dyDescent="0.15">
      <c r="S26" t="str">
        <f t="shared" ca="1" si="0"/>
        <v/>
      </c>
    </row>
    <row r="27" spans="1:19" x14ac:dyDescent="0.15">
      <c r="S27" t="str">
        <f t="shared" ca="1" si="0"/>
        <v/>
      </c>
    </row>
    <row r="28" spans="1:19" x14ac:dyDescent="0.15">
      <c r="S28" t="str">
        <f t="shared" ca="1" si="0"/>
        <v/>
      </c>
    </row>
    <row r="29" spans="1:19" x14ac:dyDescent="0.15">
      <c r="S29" t="str">
        <f t="shared" ca="1" si="0"/>
        <v/>
      </c>
    </row>
    <row r="30" spans="1:19" x14ac:dyDescent="0.15">
      <c r="S30" t="str">
        <f t="shared" ca="1" si="0"/>
        <v/>
      </c>
    </row>
    <row r="31" spans="1:19" x14ac:dyDescent="0.15">
      <c r="S31" t="str">
        <f t="shared" ca="1" si="0"/>
        <v/>
      </c>
    </row>
    <row r="32" spans="1:19" x14ac:dyDescent="0.15">
      <c r="S32" t="str">
        <f t="shared" ca="1" si="0"/>
        <v/>
      </c>
    </row>
    <row r="33" spans="19:19" x14ac:dyDescent="0.15">
      <c r="S33" t="str">
        <f t="shared" ca="1" si="0"/>
        <v/>
      </c>
    </row>
    <row r="34" spans="19:19" x14ac:dyDescent="0.15">
      <c r="S34" t="str">
        <f t="shared" ca="1" si="0"/>
        <v/>
      </c>
    </row>
    <row r="35" spans="19:19" x14ac:dyDescent="0.15">
      <c r="S35" t="str">
        <f t="shared" ca="1" si="0"/>
        <v/>
      </c>
    </row>
    <row r="36" spans="19:19" x14ac:dyDescent="0.15">
      <c r="S36" t="str">
        <f t="shared" ca="1" si="0"/>
        <v/>
      </c>
    </row>
    <row r="37" spans="19:19" x14ac:dyDescent="0.15">
      <c r="S37" t="str">
        <f t="shared" ca="1" si="0"/>
        <v/>
      </c>
    </row>
    <row r="38" spans="19:19" x14ac:dyDescent="0.15">
      <c r="S38" t="str">
        <f t="shared" ca="1" si="0"/>
        <v/>
      </c>
    </row>
    <row r="39" spans="19:19" x14ac:dyDescent="0.15">
      <c r="S39" t="str">
        <f t="shared" ca="1" si="0"/>
        <v/>
      </c>
    </row>
    <row r="40" spans="19:19" x14ac:dyDescent="0.15">
      <c r="S40" t="str">
        <f t="shared" ca="1" si="0"/>
        <v/>
      </c>
    </row>
    <row r="41" spans="19:19" x14ac:dyDescent="0.15">
      <c r="S41" t="str">
        <f t="shared" ca="1" si="0"/>
        <v/>
      </c>
    </row>
    <row r="42" spans="19:19" x14ac:dyDescent="0.15">
      <c r="S42" t="str">
        <f t="shared" ref="S42:S73" ca="1" si="1">IF($R42="","",IF(AND(IF(OR(ISNUMBER(D42),D42="-"),ABS(N(D42)-(IF(ISNUMBER(SEARCH(":",SUBSTITUTE($R42," ",""))),SUM(INDIRECT("D"&amp;LEFT(SUBSTITUTE($R42," ",""),SEARCH(":",SUBSTITUTE($R42," ",""))-1)&amp;":D"&amp;MID(SUBSTITUTE($R42," ",""),SEARCH(":",SUBSTITUTE($R42," ",""))+1,10))),SUMPRODUCT(--ISNUMBER(SEARCH(","&amp;ROW(D$10:D$209)&amp;",",","&amp;SUBSTITUTE($R42," ","")&amp;",")),D$10:D$209)-SUMPRODUCT(--ISNUMBER(SEARCH(",-"&amp;ROW(D$10:D$209)&amp;",",","&amp;SUBSTITUTE($R42," ","")&amp;",")),D$10:D$209))))&lt;=1,TRUE()),IF(OR(ISNUMBER(E42),E42="-"),ABS(N(E42)-(IF(ISNUMBER(SEARCH(":",SUBSTITUTE($R42," ",""))),SUM(INDIRECT("E"&amp;LEFT(SUBSTITUTE($R42," ",""),SEARCH(":",SUBSTITUTE($R42," ",""))-1)&amp;":E"&amp;MID(SUBSTITUTE($R42," ",""),SEARCH(":",SUBSTITUTE($R42," ",""))+1,10))),SUMPRODUCT(--ISNUMBER(SEARCH(","&amp;ROW(E$10:E$209)&amp;",",","&amp;SUBSTITUTE($R42," ","")&amp;",")),E$10:E$209)-SUMPRODUCT(--ISNUMBER(SEARCH(",-"&amp;ROW(E$10:E$209)&amp;",",","&amp;SUBSTITUTE($R42," ","")&amp;",")),E$10:E$209))))&lt;=1,TRUE()),IF(OR(ISNUMBER(F42),F42="-"),ABS(N(F42)-(IF(ISNUMBER(SEARCH(":",SUBSTITUTE($R42," ",""))),SUM(INDIRECT("F"&amp;LEFT(SUBSTITUTE($R42," ",""),SEARCH(":",SUBSTITUTE($R42," ",""))-1)&amp;":F"&amp;MID(SUBSTITUTE($R42," ",""),SEARCH(":",SUBSTITUTE($R42," ",""))+1,10))),SUMPRODUCT(--ISNUMBER(SEARCH(","&amp;ROW(F$10:F$209)&amp;",",","&amp;SUBSTITUTE($R42," ","")&amp;",")),F$10:F$209)-SUMPRODUCT(--ISNUMBER(SEARCH(",-"&amp;ROW(F$10:F$209)&amp;",",","&amp;SUBSTITUTE($R42," ","")&amp;",")),F$10:F$209))))&lt;=1,TRUE()),IF(OR(ISNUMBER(G42),G42="-"),ABS(N(G42)-(IF(ISNUMBER(SEARCH(":",SUBSTITUTE($R42," ",""))),SUM(INDIRECT("G"&amp;LEFT(SUBSTITUTE($R42," ",""),SEARCH(":",SUBSTITUTE($R42," ",""))-1)&amp;":G"&amp;MID(SUBSTITUTE($R42," ",""),SEARCH(":",SUBSTITUTE($R42," ",""))+1,10))),SUMPRODUCT(--ISNUMBER(SEARCH(","&amp;ROW(G$10:G$209)&amp;",",","&amp;SUBSTITUTE($R42," ","")&amp;",")),G$10:G$209)-SUMPRODUCT(--ISNUMBER(SEARCH(",-"&amp;ROW(G$10:G$209)&amp;",",","&amp;SUBSTITUTE($R42," ","")&amp;",")),G$10:G$209))))&lt;=1,TRUE()),IF(OR(ISNUMBER(H42),H42="-"),ABS(N(H42)-(IF(ISNUMBER(SEARCH(":",SUBSTITUTE($R42," ",""))),SUM(INDIRECT("H"&amp;LEFT(SUBSTITUTE($R42," ",""),SEARCH(":",SUBSTITUTE($R42," ",""))-1)&amp;":H"&amp;MID(SUBSTITUTE($R42," ",""),SEARCH(":",SUBSTITUTE($R42," ",""))+1,10))),SUMPRODUCT(--ISNUMBER(SEARCH(","&amp;ROW(H$10:H$209)&amp;",",","&amp;SUBSTITUTE($R42," ","")&amp;",")),H$10:H$209)-SUMPRODUCT(--ISNUMBER(SEARCH(",-"&amp;ROW(H$10:H$209)&amp;",",","&amp;SUBSTITUTE($R42," ","")&amp;",")),H$10:H$209))))&lt;=1,TRUE())),"✓","✗"))</f>
        <v/>
      </c>
    </row>
    <row r="43" spans="19:19" x14ac:dyDescent="0.15">
      <c r="S43" t="str">
        <f t="shared" ca="1" si="1"/>
        <v/>
      </c>
    </row>
    <row r="44" spans="19:19" x14ac:dyDescent="0.15">
      <c r="S44" t="str">
        <f t="shared" ca="1" si="1"/>
        <v/>
      </c>
    </row>
    <row r="45" spans="19:19" x14ac:dyDescent="0.15">
      <c r="S45" t="str">
        <f t="shared" ca="1" si="1"/>
        <v/>
      </c>
    </row>
    <row r="46" spans="19:19" x14ac:dyDescent="0.15">
      <c r="S46" t="str">
        <f t="shared" ca="1" si="1"/>
        <v/>
      </c>
    </row>
    <row r="47" spans="19:19" x14ac:dyDescent="0.15">
      <c r="S47" t="str">
        <f t="shared" ca="1" si="1"/>
        <v/>
      </c>
    </row>
    <row r="48" spans="19:19" x14ac:dyDescent="0.15">
      <c r="S48" t="str">
        <f t="shared" ca="1" si="1"/>
        <v/>
      </c>
    </row>
    <row r="49" spans="19:19" x14ac:dyDescent="0.15">
      <c r="S49" t="str">
        <f t="shared" ca="1" si="1"/>
        <v/>
      </c>
    </row>
    <row r="50" spans="19:19" x14ac:dyDescent="0.15">
      <c r="S50" t="str">
        <f t="shared" ca="1" si="1"/>
        <v/>
      </c>
    </row>
    <row r="51" spans="19:19" x14ac:dyDescent="0.15">
      <c r="S51" t="str">
        <f t="shared" ca="1" si="1"/>
        <v/>
      </c>
    </row>
    <row r="52" spans="19:19" x14ac:dyDescent="0.15">
      <c r="S52" t="str">
        <f t="shared" ca="1" si="1"/>
        <v/>
      </c>
    </row>
    <row r="53" spans="19:19" x14ac:dyDescent="0.15">
      <c r="S53" t="str">
        <f t="shared" ca="1" si="1"/>
        <v/>
      </c>
    </row>
    <row r="54" spans="19:19" x14ac:dyDescent="0.15">
      <c r="S54" t="str">
        <f t="shared" ca="1" si="1"/>
        <v/>
      </c>
    </row>
    <row r="55" spans="19:19" x14ac:dyDescent="0.15">
      <c r="S55" t="str">
        <f t="shared" ca="1" si="1"/>
        <v/>
      </c>
    </row>
    <row r="56" spans="19:19" x14ac:dyDescent="0.15">
      <c r="S56" t="str">
        <f t="shared" ca="1" si="1"/>
        <v/>
      </c>
    </row>
    <row r="57" spans="19:19" x14ac:dyDescent="0.15">
      <c r="S57" t="str">
        <f t="shared" ca="1" si="1"/>
        <v/>
      </c>
    </row>
    <row r="58" spans="19:19" x14ac:dyDescent="0.15">
      <c r="S58" t="str">
        <f t="shared" ca="1" si="1"/>
        <v/>
      </c>
    </row>
    <row r="59" spans="19:19" x14ac:dyDescent="0.15">
      <c r="S59" t="str">
        <f t="shared" ca="1" si="1"/>
        <v/>
      </c>
    </row>
    <row r="60" spans="19:19" x14ac:dyDescent="0.15">
      <c r="S60" t="str">
        <f t="shared" ca="1" si="1"/>
        <v/>
      </c>
    </row>
    <row r="61" spans="19:19" x14ac:dyDescent="0.15">
      <c r="S61" t="str">
        <f t="shared" ca="1" si="1"/>
        <v/>
      </c>
    </row>
    <row r="62" spans="19:19" x14ac:dyDescent="0.15">
      <c r="S62" t="str">
        <f t="shared" ca="1" si="1"/>
        <v/>
      </c>
    </row>
    <row r="63" spans="19:19" x14ac:dyDescent="0.15">
      <c r="S63" t="str">
        <f t="shared" ca="1" si="1"/>
        <v/>
      </c>
    </row>
    <row r="64" spans="19:19" x14ac:dyDescent="0.15">
      <c r="S64" t="str">
        <f t="shared" ca="1" si="1"/>
        <v/>
      </c>
    </row>
    <row r="65" spans="19:19" x14ac:dyDescent="0.15">
      <c r="S65" t="str">
        <f t="shared" ca="1" si="1"/>
        <v/>
      </c>
    </row>
    <row r="66" spans="19:19" x14ac:dyDescent="0.15">
      <c r="S66" t="str">
        <f t="shared" ca="1" si="1"/>
        <v/>
      </c>
    </row>
    <row r="67" spans="19:19" x14ac:dyDescent="0.15">
      <c r="S67" t="str">
        <f t="shared" ca="1" si="1"/>
        <v/>
      </c>
    </row>
    <row r="68" spans="19:19" x14ac:dyDescent="0.15">
      <c r="S68" t="str">
        <f t="shared" ca="1" si="1"/>
        <v/>
      </c>
    </row>
    <row r="69" spans="19:19" x14ac:dyDescent="0.15">
      <c r="S69" t="str">
        <f t="shared" ca="1" si="1"/>
        <v/>
      </c>
    </row>
    <row r="70" spans="19:19" x14ac:dyDescent="0.15">
      <c r="S70" t="str">
        <f t="shared" ca="1" si="1"/>
        <v/>
      </c>
    </row>
    <row r="71" spans="19:19" x14ac:dyDescent="0.15">
      <c r="S71" t="str">
        <f t="shared" ca="1" si="1"/>
        <v/>
      </c>
    </row>
    <row r="72" spans="19:19" x14ac:dyDescent="0.15">
      <c r="S72" t="str">
        <f t="shared" ca="1" si="1"/>
        <v/>
      </c>
    </row>
    <row r="73" spans="19:19" x14ac:dyDescent="0.15">
      <c r="S73" t="str">
        <f t="shared" ca="1" si="1"/>
        <v/>
      </c>
    </row>
    <row r="74" spans="19:19" x14ac:dyDescent="0.15">
      <c r="S74" t="str">
        <f t="shared" ref="S74:S105" ca="1" si="2">IF($R74="","",IF(AND(IF(OR(ISNUMBER(D74),D74="-"),ABS(N(D74)-(IF(ISNUMBER(SEARCH(":",SUBSTITUTE($R74," ",""))),SUM(INDIRECT("D"&amp;LEFT(SUBSTITUTE($R74," ",""),SEARCH(":",SUBSTITUTE($R74," ",""))-1)&amp;":D"&amp;MID(SUBSTITUTE($R74," ",""),SEARCH(":",SUBSTITUTE($R74," ",""))+1,10))),SUMPRODUCT(--ISNUMBER(SEARCH(","&amp;ROW(D$10:D$209)&amp;",",","&amp;SUBSTITUTE($R74," ","")&amp;",")),D$10:D$209)-SUMPRODUCT(--ISNUMBER(SEARCH(",-"&amp;ROW(D$10:D$209)&amp;",",","&amp;SUBSTITUTE($R74," ","")&amp;",")),D$10:D$209))))&lt;=1,TRUE()),IF(OR(ISNUMBER(E74),E74="-"),ABS(N(E74)-(IF(ISNUMBER(SEARCH(":",SUBSTITUTE($R74," ",""))),SUM(INDIRECT("E"&amp;LEFT(SUBSTITUTE($R74," ",""),SEARCH(":",SUBSTITUTE($R74," ",""))-1)&amp;":E"&amp;MID(SUBSTITUTE($R74," ",""),SEARCH(":",SUBSTITUTE($R74," ",""))+1,10))),SUMPRODUCT(--ISNUMBER(SEARCH(","&amp;ROW(E$10:E$209)&amp;",",","&amp;SUBSTITUTE($R74," ","")&amp;",")),E$10:E$209)-SUMPRODUCT(--ISNUMBER(SEARCH(",-"&amp;ROW(E$10:E$209)&amp;",",","&amp;SUBSTITUTE($R74," ","")&amp;",")),E$10:E$209))))&lt;=1,TRUE()),IF(OR(ISNUMBER(F74),F74="-"),ABS(N(F74)-(IF(ISNUMBER(SEARCH(":",SUBSTITUTE($R74," ",""))),SUM(INDIRECT("F"&amp;LEFT(SUBSTITUTE($R74," ",""),SEARCH(":",SUBSTITUTE($R74," ",""))-1)&amp;":F"&amp;MID(SUBSTITUTE($R74," ",""),SEARCH(":",SUBSTITUTE($R74," ",""))+1,10))),SUMPRODUCT(--ISNUMBER(SEARCH(","&amp;ROW(F$10:F$209)&amp;",",","&amp;SUBSTITUTE($R74," ","")&amp;",")),F$10:F$209)-SUMPRODUCT(--ISNUMBER(SEARCH(",-"&amp;ROW(F$10:F$209)&amp;",",","&amp;SUBSTITUTE($R74," ","")&amp;",")),F$10:F$209))))&lt;=1,TRUE()),IF(OR(ISNUMBER(G74),G74="-"),ABS(N(G74)-(IF(ISNUMBER(SEARCH(":",SUBSTITUTE($R74," ",""))),SUM(INDIRECT("G"&amp;LEFT(SUBSTITUTE($R74," ",""),SEARCH(":",SUBSTITUTE($R74," ",""))-1)&amp;":G"&amp;MID(SUBSTITUTE($R74," ",""),SEARCH(":",SUBSTITUTE($R74," ",""))+1,10))),SUMPRODUCT(--ISNUMBER(SEARCH(","&amp;ROW(G$10:G$209)&amp;",",","&amp;SUBSTITUTE($R74," ","")&amp;",")),G$10:G$209)-SUMPRODUCT(--ISNUMBER(SEARCH(",-"&amp;ROW(G$10:G$209)&amp;",",","&amp;SUBSTITUTE($R74," ","")&amp;",")),G$10:G$209))))&lt;=1,TRUE()),IF(OR(ISNUMBER(H74),H74="-"),ABS(N(H74)-(IF(ISNUMBER(SEARCH(":",SUBSTITUTE($R74," ",""))),SUM(INDIRECT("H"&amp;LEFT(SUBSTITUTE($R74," ",""),SEARCH(":",SUBSTITUTE($R74," ",""))-1)&amp;":H"&amp;MID(SUBSTITUTE($R74," ",""),SEARCH(":",SUBSTITUTE($R74," ",""))+1,10))),SUMPRODUCT(--ISNUMBER(SEARCH(","&amp;ROW(H$10:H$209)&amp;",",","&amp;SUBSTITUTE($R74," ","")&amp;",")),H$10:H$209)-SUMPRODUCT(--ISNUMBER(SEARCH(",-"&amp;ROW(H$10:H$209)&amp;",",","&amp;SUBSTITUTE($R74," ","")&amp;",")),H$10:H$209))))&lt;=1,TRUE())),"✓","✗"))</f>
        <v/>
      </c>
    </row>
    <row r="75" spans="19:19" x14ac:dyDescent="0.15">
      <c r="S75" t="str">
        <f t="shared" ca="1" si="2"/>
        <v/>
      </c>
    </row>
    <row r="76" spans="19:19" x14ac:dyDescent="0.15">
      <c r="S76" t="str">
        <f t="shared" ca="1" si="2"/>
        <v/>
      </c>
    </row>
    <row r="77" spans="19:19" x14ac:dyDescent="0.15">
      <c r="S77" t="str">
        <f t="shared" ca="1" si="2"/>
        <v/>
      </c>
    </row>
    <row r="78" spans="19:19" x14ac:dyDescent="0.15">
      <c r="S78" t="str">
        <f t="shared" ca="1" si="2"/>
        <v/>
      </c>
    </row>
    <row r="79" spans="19:19" x14ac:dyDescent="0.15">
      <c r="S79" t="str">
        <f t="shared" ca="1" si="2"/>
        <v/>
      </c>
    </row>
    <row r="80" spans="19:19" x14ac:dyDescent="0.15">
      <c r="S80" t="str">
        <f t="shared" ca="1" si="2"/>
        <v/>
      </c>
    </row>
    <row r="81" spans="19:19" x14ac:dyDescent="0.15">
      <c r="S81" t="str">
        <f t="shared" ca="1" si="2"/>
        <v/>
      </c>
    </row>
    <row r="82" spans="19:19" x14ac:dyDescent="0.15">
      <c r="S82" t="str">
        <f t="shared" ca="1" si="2"/>
        <v/>
      </c>
    </row>
    <row r="83" spans="19:19" x14ac:dyDescent="0.15">
      <c r="S83" t="str">
        <f t="shared" ca="1" si="2"/>
        <v/>
      </c>
    </row>
    <row r="84" spans="19:19" x14ac:dyDescent="0.15">
      <c r="S84" t="str">
        <f t="shared" ca="1" si="2"/>
        <v/>
      </c>
    </row>
    <row r="85" spans="19:19" x14ac:dyDescent="0.15">
      <c r="S85" t="str">
        <f t="shared" ca="1" si="2"/>
        <v/>
      </c>
    </row>
    <row r="86" spans="19:19" x14ac:dyDescent="0.15">
      <c r="S86" t="str">
        <f t="shared" ca="1" si="2"/>
        <v/>
      </c>
    </row>
    <row r="87" spans="19:19" x14ac:dyDescent="0.15">
      <c r="S87" t="str">
        <f t="shared" ca="1" si="2"/>
        <v/>
      </c>
    </row>
    <row r="88" spans="19:19" x14ac:dyDescent="0.15">
      <c r="S88" t="str">
        <f t="shared" ca="1" si="2"/>
        <v/>
      </c>
    </row>
    <row r="89" spans="19:19" x14ac:dyDescent="0.15">
      <c r="S89" t="str">
        <f t="shared" ca="1" si="2"/>
        <v/>
      </c>
    </row>
    <row r="90" spans="19:19" x14ac:dyDescent="0.15">
      <c r="S90" t="str">
        <f t="shared" ca="1" si="2"/>
        <v/>
      </c>
    </row>
    <row r="91" spans="19:19" x14ac:dyDescent="0.15">
      <c r="S91" t="str">
        <f t="shared" ca="1" si="2"/>
        <v/>
      </c>
    </row>
    <row r="92" spans="19:19" x14ac:dyDescent="0.15">
      <c r="S92" t="str">
        <f t="shared" ca="1" si="2"/>
        <v/>
      </c>
    </row>
    <row r="93" spans="19:19" x14ac:dyDescent="0.15">
      <c r="S93" t="str">
        <f t="shared" ca="1" si="2"/>
        <v/>
      </c>
    </row>
    <row r="94" spans="19:19" x14ac:dyDescent="0.15">
      <c r="S94" t="str">
        <f t="shared" ca="1" si="2"/>
        <v/>
      </c>
    </row>
    <row r="95" spans="19:19" x14ac:dyDescent="0.15">
      <c r="S95" t="str">
        <f t="shared" ca="1" si="2"/>
        <v/>
      </c>
    </row>
    <row r="96" spans="19:19" x14ac:dyDescent="0.15">
      <c r="S96" t="str">
        <f t="shared" ca="1" si="2"/>
        <v/>
      </c>
    </row>
    <row r="97" spans="19:19" x14ac:dyDescent="0.15">
      <c r="S97" t="str">
        <f t="shared" ca="1" si="2"/>
        <v/>
      </c>
    </row>
    <row r="98" spans="19:19" x14ac:dyDescent="0.15">
      <c r="S98" t="str">
        <f t="shared" ca="1" si="2"/>
        <v/>
      </c>
    </row>
    <row r="99" spans="19:19" x14ac:dyDescent="0.15">
      <c r="S99" t="str">
        <f t="shared" ca="1" si="2"/>
        <v/>
      </c>
    </row>
    <row r="100" spans="19:19" x14ac:dyDescent="0.15">
      <c r="S100" t="str">
        <f t="shared" ca="1" si="2"/>
        <v/>
      </c>
    </row>
    <row r="101" spans="19:19" x14ac:dyDescent="0.15">
      <c r="S101" t="str">
        <f t="shared" ca="1" si="2"/>
        <v/>
      </c>
    </row>
    <row r="102" spans="19:19" x14ac:dyDescent="0.15">
      <c r="S102" t="str">
        <f t="shared" ca="1" si="2"/>
        <v/>
      </c>
    </row>
    <row r="103" spans="19:19" x14ac:dyDescent="0.15">
      <c r="S103" t="str">
        <f t="shared" ca="1" si="2"/>
        <v/>
      </c>
    </row>
    <row r="104" spans="19:19" x14ac:dyDescent="0.15">
      <c r="S104" t="str">
        <f t="shared" ca="1" si="2"/>
        <v/>
      </c>
    </row>
    <row r="105" spans="19:19" x14ac:dyDescent="0.15">
      <c r="S105" t="str">
        <f t="shared" ca="1" si="2"/>
        <v/>
      </c>
    </row>
    <row r="106" spans="19:19" x14ac:dyDescent="0.15">
      <c r="S106" t="str">
        <f t="shared" ref="S106:S137" ca="1" si="3">IF($R106="","",IF(AND(IF(OR(ISNUMBER(D106),D106="-"),ABS(N(D106)-(IF(ISNUMBER(SEARCH(":",SUBSTITUTE($R106," ",""))),SUM(INDIRECT("D"&amp;LEFT(SUBSTITUTE($R106," ",""),SEARCH(":",SUBSTITUTE($R106," ",""))-1)&amp;":D"&amp;MID(SUBSTITUTE($R106," ",""),SEARCH(":",SUBSTITUTE($R106," ",""))+1,10))),SUMPRODUCT(--ISNUMBER(SEARCH(","&amp;ROW(D$10:D$209)&amp;",",","&amp;SUBSTITUTE($R106," ","")&amp;",")),D$10:D$209)-SUMPRODUCT(--ISNUMBER(SEARCH(",-"&amp;ROW(D$10:D$209)&amp;",",","&amp;SUBSTITUTE($R106," ","")&amp;",")),D$10:D$209))))&lt;=1,TRUE()),IF(OR(ISNUMBER(E106),E106="-"),ABS(N(E106)-(IF(ISNUMBER(SEARCH(":",SUBSTITUTE($R106," ",""))),SUM(INDIRECT("E"&amp;LEFT(SUBSTITUTE($R106," ",""),SEARCH(":",SUBSTITUTE($R106," ",""))-1)&amp;":E"&amp;MID(SUBSTITUTE($R106," ",""),SEARCH(":",SUBSTITUTE($R106," ",""))+1,10))),SUMPRODUCT(--ISNUMBER(SEARCH(","&amp;ROW(E$10:E$209)&amp;",",","&amp;SUBSTITUTE($R106," ","")&amp;",")),E$10:E$209)-SUMPRODUCT(--ISNUMBER(SEARCH(",-"&amp;ROW(E$10:E$209)&amp;",",","&amp;SUBSTITUTE($R106," ","")&amp;",")),E$10:E$209))))&lt;=1,TRUE()),IF(OR(ISNUMBER(F106),F106="-"),ABS(N(F106)-(IF(ISNUMBER(SEARCH(":",SUBSTITUTE($R106," ",""))),SUM(INDIRECT("F"&amp;LEFT(SUBSTITUTE($R106," ",""),SEARCH(":",SUBSTITUTE($R106," ",""))-1)&amp;":F"&amp;MID(SUBSTITUTE($R106," ",""),SEARCH(":",SUBSTITUTE($R106," ",""))+1,10))),SUMPRODUCT(--ISNUMBER(SEARCH(","&amp;ROW(F$10:F$209)&amp;",",","&amp;SUBSTITUTE($R106," ","")&amp;",")),F$10:F$209)-SUMPRODUCT(--ISNUMBER(SEARCH(",-"&amp;ROW(F$10:F$209)&amp;",",","&amp;SUBSTITUTE($R106," ","")&amp;",")),F$10:F$209))))&lt;=1,TRUE()),IF(OR(ISNUMBER(G106),G106="-"),ABS(N(G106)-(IF(ISNUMBER(SEARCH(":",SUBSTITUTE($R106," ",""))),SUM(INDIRECT("G"&amp;LEFT(SUBSTITUTE($R106," ",""),SEARCH(":",SUBSTITUTE($R106," ",""))-1)&amp;":G"&amp;MID(SUBSTITUTE($R106," ",""),SEARCH(":",SUBSTITUTE($R106," ",""))+1,10))),SUMPRODUCT(--ISNUMBER(SEARCH(","&amp;ROW(G$10:G$209)&amp;",",","&amp;SUBSTITUTE($R106," ","")&amp;",")),G$10:G$209)-SUMPRODUCT(--ISNUMBER(SEARCH(",-"&amp;ROW(G$10:G$209)&amp;",",","&amp;SUBSTITUTE($R106," ","")&amp;",")),G$10:G$209))))&lt;=1,TRUE()),IF(OR(ISNUMBER(H106),H106="-"),ABS(N(H106)-(IF(ISNUMBER(SEARCH(":",SUBSTITUTE($R106," ",""))),SUM(INDIRECT("H"&amp;LEFT(SUBSTITUTE($R106," ",""),SEARCH(":",SUBSTITUTE($R106," ",""))-1)&amp;":H"&amp;MID(SUBSTITUTE($R106," ",""),SEARCH(":",SUBSTITUTE($R106," ",""))+1,10))),SUMPRODUCT(--ISNUMBER(SEARCH(","&amp;ROW(H$10:H$209)&amp;",",","&amp;SUBSTITUTE($R106," ","")&amp;",")),H$10:H$209)-SUMPRODUCT(--ISNUMBER(SEARCH(",-"&amp;ROW(H$10:H$209)&amp;",",","&amp;SUBSTITUTE($R106," ","")&amp;",")),H$10:H$209))))&lt;=1,TRUE())),"✓","✗"))</f>
        <v/>
      </c>
    </row>
    <row r="107" spans="19:19" x14ac:dyDescent="0.15">
      <c r="S107" t="str">
        <f t="shared" ca="1" si="3"/>
        <v/>
      </c>
    </row>
    <row r="108" spans="19:19" x14ac:dyDescent="0.15">
      <c r="S108" t="str">
        <f t="shared" ca="1" si="3"/>
        <v/>
      </c>
    </row>
    <row r="109" spans="19:19" x14ac:dyDescent="0.15">
      <c r="S109" t="str">
        <f t="shared" ca="1" si="3"/>
        <v/>
      </c>
    </row>
    <row r="110" spans="19:19" x14ac:dyDescent="0.15">
      <c r="S110" t="str">
        <f t="shared" ca="1" si="3"/>
        <v/>
      </c>
    </row>
    <row r="111" spans="19:19" x14ac:dyDescent="0.15">
      <c r="S111" t="str">
        <f t="shared" ca="1" si="3"/>
        <v/>
      </c>
    </row>
    <row r="112" spans="19:19" x14ac:dyDescent="0.15">
      <c r="S112" t="str">
        <f t="shared" ca="1" si="3"/>
        <v/>
      </c>
    </row>
    <row r="113" spans="19:19" x14ac:dyDescent="0.15">
      <c r="S113" t="str">
        <f t="shared" ca="1" si="3"/>
        <v/>
      </c>
    </row>
    <row r="114" spans="19:19" x14ac:dyDescent="0.15">
      <c r="S114" t="str">
        <f t="shared" ca="1" si="3"/>
        <v/>
      </c>
    </row>
    <row r="115" spans="19:19" x14ac:dyDescent="0.15">
      <c r="S115" t="str">
        <f t="shared" ca="1" si="3"/>
        <v/>
      </c>
    </row>
    <row r="116" spans="19:19" x14ac:dyDescent="0.15">
      <c r="S116" t="str">
        <f t="shared" ca="1" si="3"/>
        <v/>
      </c>
    </row>
    <row r="117" spans="19:19" x14ac:dyDescent="0.15">
      <c r="S117" t="str">
        <f t="shared" ca="1" si="3"/>
        <v/>
      </c>
    </row>
    <row r="118" spans="19:19" x14ac:dyDescent="0.15">
      <c r="S118" t="str">
        <f t="shared" ca="1" si="3"/>
        <v/>
      </c>
    </row>
    <row r="119" spans="19:19" x14ac:dyDescent="0.15">
      <c r="S119" t="str">
        <f t="shared" ca="1" si="3"/>
        <v/>
      </c>
    </row>
    <row r="120" spans="19:19" x14ac:dyDescent="0.15">
      <c r="S120" t="str">
        <f t="shared" ca="1" si="3"/>
        <v/>
      </c>
    </row>
    <row r="121" spans="19:19" x14ac:dyDescent="0.15">
      <c r="S121" t="str">
        <f t="shared" ca="1" si="3"/>
        <v/>
      </c>
    </row>
    <row r="122" spans="19:19" x14ac:dyDescent="0.15">
      <c r="S122" t="str">
        <f t="shared" ca="1" si="3"/>
        <v/>
      </c>
    </row>
    <row r="123" spans="19:19" x14ac:dyDescent="0.15">
      <c r="S123" t="str">
        <f t="shared" ca="1" si="3"/>
        <v/>
      </c>
    </row>
    <row r="124" spans="19:19" x14ac:dyDescent="0.15">
      <c r="S124" t="str">
        <f t="shared" ca="1" si="3"/>
        <v/>
      </c>
    </row>
    <row r="125" spans="19:19" x14ac:dyDescent="0.15">
      <c r="S125" t="str">
        <f t="shared" ca="1" si="3"/>
        <v/>
      </c>
    </row>
    <row r="126" spans="19:19" x14ac:dyDescent="0.15">
      <c r="S126" t="str">
        <f t="shared" ca="1" si="3"/>
        <v/>
      </c>
    </row>
    <row r="127" spans="19:19" x14ac:dyDescent="0.15">
      <c r="S127" t="str">
        <f t="shared" ca="1" si="3"/>
        <v/>
      </c>
    </row>
    <row r="128" spans="19:19" x14ac:dyDescent="0.15">
      <c r="S128" t="str">
        <f t="shared" ca="1" si="3"/>
        <v/>
      </c>
    </row>
    <row r="129" spans="19:19" x14ac:dyDescent="0.15">
      <c r="S129" t="str">
        <f t="shared" ca="1" si="3"/>
        <v/>
      </c>
    </row>
    <row r="130" spans="19:19" x14ac:dyDescent="0.15">
      <c r="S130" t="str">
        <f t="shared" ca="1" si="3"/>
        <v/>
      </c>
    </row>
    <row r="131" spans="19:19" x14ac:dyDescent="0.15">
      <c r="S131" t="str">
        <f t="shared" ca="1" si="3"/>
        <v/>
      </c>
    </row>
    <row r="132" spans="19:19" x14ac:dyDescent="0.15">
      <c r="S132" t="str">
        <f t="shared" ca="1" si="3"/>
        <v/>
      </c>
    </row>
    <row r="133" spans="19:19" x14ac:dyDescent="0.15">
      <c r="S133" t="str">
        <f t="shared" ca="1" si="3"/>
        <v/>
      </c>
    </row>
    <row r="134" spans="19:19" x14ac:dyDescent="0.15">
      <c r="S134" t="str">
        <f t="shared" ca="1" si="3"/>
        <v/>
      </c>
    </row>
    <row r="135" spans="19:19" x14ac:dyDescent="0.15">
      <c r="S135" t="str">
        <f t="shared" ca="1" si="3"/>
        <v/>
      </c>
    </row>
    <row r="136" spans="19:19" x14ac:dyDescent="0.15">
      <c r="S136" t="str">
        <f t="shared" ca="1" si="3"/>
        <v/>
      </c>
    </row>
    <row r="137" spans="19:19" x14ac:dyDescent="0.15">
      <c r="S137" t="str">
        <f t="shared" ca="1" si="3"/>
        <v/>
      </c>
    </row>
    <row r="138" spans="19:19" x14ac:dyDescent="0.15">
      <c r="S138" t="str">
        <f t="shared" ref="S138:S169" ca="1" si="4">IF($R138="","",IF(AND(IF(OR(ISNUMBER(D138),D138="-"),ABS(N(D138)-(IF(ISNUMBER(SEARCH(":",SUBSTITUTE($R138," ",""))),SUM(INDIRECT("D"&amp;LEFT(SUBSTITUTE($R138," ",""),SEARCH(":",SUBSTITUTE($R138," ",""))-1)&amp;":D"&amp;MID(SUBSTITUTE($R138," ",""),SEARCH(":",SUBSTITUTE($R138," ",""))+1,10))),SUMPRODUCT(--ISNUMBER(SEARCH(","&amp;ROW(D$10:D$209)&amp;",",","&amp;SUBSTITUTE($R138," ","")&amp;",")),D$10:D$209)-SUMPRODUCT(--ISNUMBER(SEARCH(",-"&amp;ROW(D$10:D$209)&amp;",",","&amp;SUBSTITUTE($R138," ","")&amp;",")),D$10:D$209))))&lt;=1,TRUE()),IF(OR(ISNUMBER(E138),E138="-"),ABS(N(E138)-(IF(ISNUMBER(SEARCH(":",SUBSTITUTE($R138," ",""))),SUM(INDIRECT("E"&amp;LEFT(SUBSTITUTE($R138," ",""),SEARCH(":",SUBSTITUTE($R138," ",""))-1)&amp;":E"&amp;MID(SUBSTITUTE($R138," ",""),SEARCH(":",SUBSTITUTE($R138," ",""))+1,10))),SUMPRODUCT(--ISNUMBER(SEARCH(","&amp;ROW(E$10:E$209)&amp;",",","&amp;SUBSTITUTE($R138," ","")&amp;",")),E$10:E$209)-SUMPRODUCT(--ISNUMBER(SEARCH(",-"&amp;ROW(E$10:E$209)&amp;",",","&amp;SUBSTITUTE($R138," ","")&amp;",")),E$10:E$209))))&lt;=1,TRUE()),IF(OR(ISNUMBER(F138),F138="-"),ABS(N(F138)-(IF(ISNUMBER(SEARCH(":",SUBSTITUTE($R138," ",""))),SUM(INDIRECT("F"&amp;LEFT(SUBSTITUTE($R138," ",""),SEARCH(":",SUBSTITUTE($R138," ",""))-1)&amp;":F"&amp;MID(SUBSTITUTE($R138," ",""),SEARCH(":",SUBSTITUTE($R138," ",""))+1,10))),SUMPRODUCT(--ISNUMBER(SEARCH(","&amp;ROW(F$10:F$209)&amp;",",","&amp;SUBSTITUTE($R138," ","")&amp;",")),F$10:F$209)-SUMPRODUCT(--ISNUMBER(SEARCH(",-"&amp;ROW(F$10:F$209)&amp;",",","&amp;SUBSTITUTE($R138," ","")&amp;",")),F$10:F$209))))&lt;=1,TRUE()),IF(OR(ISNUMBER(G138),G138="-"),ABS(N(G138)-(IF(ISNUMBER(SEARCH(":",SUBSTITUTE($R138," ",""))),SUM(INDIRECT("G"&amp;LEFT(SUBSTITUTE($R138," ",""),SEARCH(":",SUBSTITUTE($R138," ",""))-1)&amp;":G"&amp;MID(SUBSTITUTE($R138," ",""),SEARCH(":",SUBSTITUTE($R138," ",""))+1,10))),SUMPRODUCT(--ISNUMBER(SEARCH(","&amp;ROW(G$10:G$209)&amp;",",","&amp;SUBSTITUTE($R138," ","")&amp;",")),G$10:G$209)-SUMPRODUCT(--ISNUMBER(SEARCH(",-"&amp;ROW(G$10:G$209)&amp;",",","&amp;SUBSTITUTE($R138," ","")&amp;",")),G$10:G$209))))&lt;=1,TRUE()),IF(OR(ISNUMBER(H138),H138="-"),ABS(N(H138)-(IF(ISNUMBER(SEARCH(":",SUBSTITUTE($R138," ",""))),SUM(INDIRECT("H"&amp;LEFT(SUBSTITUTE($R138," ",""),SEARCH(":",SUBSTITUTE($R138," ",""))-1)&amp;":H"&amp;MID(SUBSTITUTE($R138," ",""),SEARCH(":",SUBSTITUTE($R138," ",""))+1,10))),SUMPRODUCT(--ISNUMBER(SEARCH(","&amp;ROW(H$10:H$209)&amp;",",","&amp;SUBSTITUTE($R138," ","")&amp;",")),H$10:H$209)-SUMPRODUCT(--ISNUMBER(SEARCH(",-"&amp;ROW(H$10:H$209)&amp;",",","&amp;SUBSTITUTE($R138," ","")&amp;",")),H$10:H$209))))&lt;=1,TRUE())),"✓","✗"))</f>
        <v/>
      </c>
    </row>
    <row r="139" spans="19:19" x14ac:dyDescent="0.15">
      <c r="S139" t="str">
        <f t="shared" ca="1" si="4"/>
        <v/>
      </c>
    </row>
    <row r="140" spans="19:19" x14ac:dyDescent="0.15">
      <c r="S140" t="str">
        <f t="shared" ca="1" si="4"/>
        <v/>
      </c>
    </row>
    <row r="141" spans="19:19" x14ac:dyDescent="0.15">
      <c r="S141" t="str">
        <f t="shared" ca="1" si="4"/>
        <v/>
      </c>
    </row>
    <row r="142" spans="19:19" x14ac:dyDescent="0.15">
      <c r="S142" t="str">
        <f t="shared" ca="1" si="4"/>
        <v/>
      </c>
    </row>
    <row r="143" spans="19:19" x14ac:dyDescent="0.15">
      <c r="S143" t="str">
        <f t="shared" ca="1" si="4"/>
        <v/>
      </c>
    </row>
    <row r="144" spans="19:19" x14ac:dyDescent="0.15">
      <c r="S144" t="str">
        <f t="shared" ca="1" si="4"/>
        <v/>
      </c>
    </row>
    <row r="145" spans="19:19" x14ac:dyDescent="0.15">
      <c r="S145" t="str">
        <f t="shared" ca="1" si="4"/>
        <v/>
      </c>
    </row>
    <row r="146" spans="19:19" x14ac:dyDescent="0.15">
      <c r="S146" t="str">
        <f t="shared" ca="1" si="4"/>
        <v/>
      </c>
    </row>
    <row r="147" spans="19:19" x14ac:dyDescent="0.15">
      <c r="S147" t="str">
        <f t="shared" ca="1" si="4"/>
        <v/>
      </c>
    </row>
    <row r="148" spans="19:19" x14ac:dyDescent="0.15">
      <c r="S148" t="str">
        <f t="shared" ca="1" si="4"/>
        <v/>
      </c>
    </row>
    <row r="149" spans="19:19" x14ac:dyDescent="0.15">
      <c r="S149" t="str">
        <f t="shared" ca="1" si="4"/>
        <v/>
      </c>
    </row>
    <row r="150" spans="19:19" x14ac:dyDescent="0.15">
      <c r="S150" t="str">
        <f t="shared" ca="1" si="4"/>
        <v/>
      </c>
    </row>
    <row r="151" spans="19:19" x14ac:dyDescent="0.15">
      <c r="S151" t="str">
        <f t="shared" ca="1" si="4"/>
        <v/>
      </c>
    </row>
    <row r="152" spans="19:19" x14ac:dyDescent="0.15">
      <c r="S152" t="str">
        <f t="shared" ca="1" si="4"/>
        <v/>
      </c>
    </row>
    <row r="153" spans="19:19" x14ac:dyDescent="0.15">
      <c r="S153" t="str">
        <f t="shared" ca="1" si="4"/>
        <v/>
      </c>
    </row>
    <row r="154" spans="19:19" x14ac:dyDescent="0.15">
      <c r="S154" t="str">
        <f t="shared" ca="1" si="4"/>
        <v/>
      </c>
    </row>
    <row r="155" spans="19:19" x14ac:dyDescent="0.15">
      <c r="S155" t="str">
        <f t="shared" ca="1" si="4"/>
        <v/>
      </c>
    </row>
    <row r="156" spans="19:19" x14ac:dyDescent="0.15">
      <c r="S156" t="str">
        <f t="shared" ca="1" si="4"/>
        <v/>
      </c>
    </row>
    <row r="157" spans="19:19" x14ac:dyDescent="0.15">
      <c r="S157" t="str">
        <f t="shared" ca="1" si="4"/>
        <v/>
      </c>
    </row>
    <row r="158" spans="19:19" x14ac:dyDescent="0.15">
      <c r="S158" t="str">
        <f t="shared" ca="1" si="4"/>
        <v/>
      </c>
    </row>
    <row r="159" spans="19:19" x14ac:dyDescent="0.15">
      <c r="S159" t="str">
        <f t="shared" ca="1" si="4"/>
        <v/>
      </c>
    </row>
    <row r="160" spans="19:19" x14ac:dyDescent="0.15">
      <c r="S160" t="str">
        <f t="shared" ca="1" si="4"/>
        <v/>
      </c>
    </row>
    <row r="161" spans="19:19" x14ac:dyDescent="0.15">
      <c r="S161" t="str">
        <f t="shared" ca="1" si="4"/>
        <v/>
      </c>
    </row>
    <row r="162" spans="19:19" x14ac:dyDescent="0.15">
      <c r="S162" t="str">
        <f t="shared" ca="1" si="4"/>
        <v/>
      </c>
    </row>
    <row r="163" spans="19:19" x14ac:dyDescent="0.15">
      <c r="S163" t="str">
        <f t="shared" ca="1" si="4"/>
        <v/>
      </c>
    </row>
    <row r="164" spans="19:19" x14ac:dyDescent="0.15">
      <c r="S164" t="str">
        <f t="shared" ca="1" si="4"/>
        <v/>
      </c>
    </row>
    <row r="165" spans="19:19" x14ac:dyDescent="0.15">
      <c r="S165" t="str">
        <f t="shared" ca="1" si="4"/>
        <v/>
      </c>
    </row>
    <row r="166" spans="19:19" x14ac:dyDescent="0.15">
      <c r="S166" t="str">
        <f t="shared" ca="1" si="4"/>
        <v/>
      </c>
    </row>
    <row r="167" spans="19:19" x14ac:dyDescent="0.15">
      <c r="S167" t="str">
        <f t="shared" ca="1" si="4"/>
        <v/>
      </c>
    </row>
    <row r="168" spans="19:19" x14ac:dyDescent="0.15">
      <c r="S168" t="str">
        <f t="shared" ca="1" si="4"/>
        <v/>
      </c>
    </row>
    <row r="169" spans="19:19" x14ac:dyDescent="0.15">
      <c r="S169" t="str">
        <f t="shared" ca="1" si="4"/>
        <v/>
      </c>
    </row>
    <row r="170" spans="19:19" x14ac:dyDescent="0.15">
      <c r="S170" t="str">
        <f t="shared" ref="S170:S201" ca="1" si="5">IF($R170="","",IF(AND(IF(OR(ISNUMBER(D170),D170="-"),ABS(N(D170)-(IF(ISNUMBER(SEARCH(":",SUBSTITUTE($R170," ",""))),SUM(INDIRECT("D"&amp;LEFT(SUBSTITUTE($R170," ",""),SEARCH(":",SUBSTITUTE($R170," ",""))-1)&amp;":D"&amp;MID(SUBSTITUTE($R170," ",""),SEARCH(":",SUBSTITUTE($R170," ",""))+1,10))),SUMPRODUCT(--ISNUMBER(SEARCH(","&amp;ROW(D$10:D$209)&amp;",",","&amp;SUBSTITUTE($R170," ","")&amp;",")),D$10:D$209)-SUMPRODUCT(--ISNUMBER(SEARCH(",-"&amp;ROW(D$10:D$209)&amp;",",","&amp;SUBSTITUTE($R170," ","")&amp;",")),D$10:D$209))))&lt;=1,TRUE()),IF(OR(ISNUMBER(E170),E170="-"),ABS(N(E170)-(IF(ISNUMBER(SEARCH(":",SUBSTITUTE($R170," ",""))),SUM(INDIRECT("E"&amp;LEFT(SUBSTITUTE($R170," ",""),SEARCH(":",SUBSTITUTE($R170," ",""))-1)&amp;":E"&amp;MID(SUBSTITUTE($R170," ",""),SEARCH(":",SUBSTITUTE($R170," ",""))+1,10))),SUMPRODUCT(--ISNUMBER(SEARCH(","&amp;ROW(E$10:E$209)&amp;",",","&amp;SUBSTITUTE($R170," ","")&amp;",")),E$10:E$209)-SUMPRODUCT(--ISNUMBER(SEARCH(",-"&amp;ROW(E$10:E$209)&amp;",",","&amp;SUBSTITUTE($R170," ","")&amp;",")),E$10:E$209))))&lt;=1,TRUE()),IF(OR(ISNUMBER(F170),F170="-"),ABS(N(F170)-(IF(ISNUMBER(SEARCH(":",SUBSTITUTE($R170," ",""))),SUM(INDIRECT("F"&amp;LEFT(SUBSTITUTE($R170," ",""),SEARCH(":",SUBSTITUTE($R170," ",""))-1)&amp;":F"&amp;MID(SUBSTITUTE($R170," ",""),SEARCH(":",SUBSTITUTE($R170," ",""))+1,10))),SUMPRODUCT(--ISNUMBER(SEARCH(","&amp;ROW(F$10:F$209)&amp;",",","&amp;SUBSTITUTE($R170," ","")&amp;",")),F$10:F$209)-SUMPRODUCT(--ISNUMBER(SEARCH(",-"&amp;ROW(F$10:F$209)&amp;",",","&amp;SUBSTITUTE($R170," ","")&amp;",")),F$10:F$209))))&lt;=1,TRUE()),IF(OR(ISNUMBER(G170),G170="-"),ABS(N(G170)-(IF(ISNUMBER(SEARCH(":",SUBSTITUTE($R170," ",""))),SUM(INDIRECT("G"&amp;LEFT(SUBSTITUTE($R170," ",""),SEARCH(":",SUBSTITUTE($R170," ",""))-1)&amp;":G"&amp;MID(SUBSTITUTE($R170," ",""),SEARCH(":",SUBSTITUTE($R170," ",""))+1,10))),SUMPRODUCT(--ISNUMBER(SEARCH(","&amp;ROW(G$10:G$209)&amp;",",","&amp;SUBSTITUTE($R170," ","")&amp;",")),G$10:G$209)-SUMPRODUCT(--ISNUMBER(SEARCH(",-"&amp;ROW(G$10:G$209)&amp;",",","&amp;SUBSTITUTE($R170," ","")&amp;",")),G$10:G$209))))&lt;=1,TRUE()),IF(OR(ISNUMBER(H170),H170="-"),ABS(N(H170)-(IF(ISNUMBER(SEARCH(":",SUBSTITUTE($R170," ",""))),SUM(INDIRECT("H"&amp;LEFT(SUBSTITUTE($R170," ",""),SEARCH(":",SUBSTITUTE($R170," ",""))-1)&amp;":H"&amp;MID(SUBSTITUTE($R170," ",""),SEARCH(":",SUBSTITUTE($R170," ",""))+1,10))),SUMPRODUCT(--ISNUMBER(SEARCH(","&amp;ROW(H$10:H$209)&amp;",",","&amp;SUBSTITUTE($R170," ","")&amp;",")),H$10:H$209)-SUMPRODUCT(--ISNUMBER(SEARCH(",-"&amp;ROW(H$10:H$209)&amp;",",","&amp;SUBSTITUTE($R170," ","")&amp;",")),H$10:H$209))))&lt;=1,TRUE())),"✓","✗"))</f>
        <v/>
      </c>
    </row>
    <row r="171" spans="19:19" x14ac:dyDescent="0.15">
      <c r="S171" t="str">
        <f t="shared" ca="1" si="5"/>
        <v/>
      </c>
    </row>
    <row r="172" spans="19:19" x14ac:dyDescent="0.15">
      <c r="S172" t="str">
        <f t="shared" ca="1" si="5"/>
        <v/>
      </c>
    </row>
    <row r="173" spans="19:19" x14ac:dyDescent="0.15">
      <c r="S173" t="str">
        <f t="shared" ca="1" si="5"/>
        <v/>
      </c>
    </row>
    <row r="174" spans="19:19" x14ac:dyDescent="0.15">
      <c r="S174" t="str">
        <f t="shared" ca="1" si="5"/>
        <v/>
      </c>
    </row>
    <row r="175" spans="19:19" x14ac:dyDescent="0.15">
      <c r="S175" t="str">
        <f t="shared" ca="1" si="5"/>
        <v/>
      </c>
    </row>
    <row r="176" spans="19:19" x14ac:dyDescent="0.15">
      <c r="S176" t="str">
        <f t="shared" ca="1" si="5"/>
        <v/>
      </c>
    </row>
    <row r="177" spans="19:19" x14ac:dyDescent="0.15">
      <c r="S177" t="str">
        <f t="shared" ca="1" si="5"/>
        <v/>
      </c>
    </row>
    <row r="178" spans="19:19" x14ac:dyDescent="0.15">
      <c r="S178" t="str">
        <f t="shared" ca="1" si="5"/>
        <v/>
      </c>
    </row>
    <row r="179" spans="19:19" x14ac:dyDescent="0.15">
      <c r="S179" t="str">
        <f t="shared" ca="1" si="5"/>
        <v/>
      </c>
    </row>
    <row r="180" spans="19:19" x14ac:dyDescent="0.15">
      <c r="S180" t="str">
        <f t="shared" ca="1" si="5"/>
        <v/>
      </c>
    </row>
    <row r="181" spans="19:19" x14ac:dyDescent="0.15">
      <c r="S181" t="str">
        <f t="shared" ca="1" si="5"/>
        <v/>
      </c>
    </row>
    <row r="182" spans="19:19" x14ac:dyDescent="0.15">
      <c r="S182" t="str">
        <f t="shared" ca="1" si="5"/>
        <v/>
      </c>
    </row>
    <row r="183" spans="19:19" x14ac:dyDescent="0.15">
      <c r="S183" t="str">
        <f t="shared" ca="1" si="5"/>
        <v/>
      </c>
    </row>
    <row r="184" spans="19:19" x14ac:dyDescent="0.15">
      <c r="S184" t="str">
        <f t="shared" ca="1" si="5"/>
        <v/>
      </c>
    </row>
    <row r="185" spans="19:19" x14ac:dyDescent="0.15">
      <c r="S185" t="str">
        <f t="shared" ca="1" si="5"/>
        <v/>
      </c>
    </row>
    <row r="186" spans="19:19" x14ac:dyDescent="0.15">
      <c r="S186" t="str">
        <f t="shared" ca="1" si="5"/>
        <v/>
      </c>
    </row>
    <row r="187" spans="19:19" x14ac:dyDescent="0.15">
      <c r="S187" t="str">
        <f t="shared" ca="1" si="5"/>
        <v/>
      </c>
    </row>
    <row r="188" spans="19:19" x14ac:dyDescent="0.15">
      <c r="S188" t="str">
        <f t="shared" ca="1" si="5"/>
        <v/>
      </c>
    </row>
    <row r="189" spans="19:19" x14ac:dyDescent="0.15">
      <c r="S189" t="str">
        <f t="shared" ca="1" si="5"/>
        <v/>
      </c>
    </row>
    <row r="190" spans="19:19" x14ac:dyDescent="0.15">
      <c r="S190" t="str">
        <f t="shared" ca="1" si="5"/>
        <v/>
      </c>
    </row>
    <row r="191" spans="19:19" x14ac:dyDescent="0.15">
      <c r="S191" t="str">
        <f t="shared" ca="1" si="5"/>
        <v/>
      </c>
    </row>
    <row r="192" spans="19:19" x14ac:dyDescent="0.15">
      <c r="S192" t="str">
        <f t="shared" ca="1" si="5"/>
        <v/>
      </c>
    </row>
    <row r="193" spans="19:19" x14ac:dyDescent="0.15">
      <c r="S193" t="str">
        <f t="shared" ca="1" si="5"/>
        <v/>
      </c>
    </row>
    <row r="194" spans="19:19" x14ac:dyDescent="0.15">
      <c r="S194" t="str">
        <f t="shared" ca="1" si="5"/>
        <v/>
      </c>
    </row>
    <row r="195" spans="19:19" x14ac:dyDescent="0.15">
      <c r="S195" t="str">
        <f t="shared" ca="1" si="5"/>
        <v/>
      </c>
    </row>
    <row r="196" spans="19:19" x14ac:dyDescent="0.15">
      <c r="S196" t="str">
        <f t="shared" ca="1" si="5"/>
        <v/>
      </c>
    </row>
    <row r="197" spans="19:19" x14ac:dyDescent="0.15">
      <c r="S197" t="str">
        <f t="shared" ca="1" si="5"/>
        <v/>
      </c>
    </row>
    <row r="198" spans="19:19" x14ac:dyDescent="0.15">
      <c r="S198" t="str">
        <f t="shared" ca="1" si="5"/>
        <v/>
      </c>
    </row>
    <row r="199" spans="19:19" x14ac:dyDescent="0.15">
      <c r="S199" t="str">
        <f t="shared" ca="1" si="5"/>
        <v/>
      </c>
    </row>
    <row r="200" spans="19:19" x14ac:dyDescent="0.15">
      <c r="S200" t="str">
        <f t="shared" ca="1" si="5"/>
        <v/>
      </c>
    </row>
    <row r="201" spans="19:19" x14ac:dyDescent="0.15">
      <c r="S201" t="str">
        <f t="shared" ca="1" si="5"/>
        <v/>
      </c>
    </row>
    <row r="202" spans="19:19" x14ac:dyDescent="0.15">
      <c r="S202" t="str">
        <f t="shared" ref="S202:S209" ca="1" si="6">IF($R202="","",IF(AND(IF(OR(ISNUMBER(D202),D202="-"),ABS(N(D202)-(IF(ISNUMBER(SEARCH(":",SUBSTITUTE($R202," ",""))),SUM(INDIRECT("D"&amp;LEFT(SUBSTITUTE($R202," ",""),SEARCH(":",SUBSTITUTE($R202," ",""))-1)&amp;":D"&amp;MID(SUBSTITUTE($R202," ",""),SEARCH(":",SUBSTITUTE($R202," ",""))+1,10))),SUMPRODUCT(--ISNUMBER(SEARCH(","&amp;ROW(D$10:D$209)&amp;",",","&amp;SUBSTITUTE($R202," ","")&amp;",")),D$10:D$209)-SUMPRODUCT(--ISNUMBER(SEARCH(",-"&amp;ROW(D$10:D$209)&amp;",",","&amp;SUBSTITUTE($R202," ","")&amp;",")),D$10:D$209))))&lt;=1,TRUE()),IF(OR(ISNUMBER(E202),E202="-"),ABS(N(E202)-(IF(ISNUMBER(SEARCH(":",SUBSTITUTE($R202," ",""))),SUM(INDIRECT("E"&amp;LEFT(SUBSTITUTE($R202," ",""),SEARCH(":",SUBSTITUTE($R202," ",""))-1)&amp;":E"&amp;MID(SUBSTITUTE($R202," ",""),SEARCH(":",SUBSTITUTE($R202," ",""))+1,10))),SUMPRODUCT(--ISNUMBER(SEARCH(","&amp;ROW(E$10:E$209)&amp;",",","&amp;SUBSTITUTE($R202," ","")&amp;",")),E$10:E$209)-SUMPRODUCT(--ISNUMBER(SEARCH(",-"&amp;ROW(E$10:E$209)&amp;",",","&amp;SUBSTITUTE($R202," ","")&amp;",")),E$10:E$209))))&lt;=1,TRUE()),IF(OR(ISNUMBER(F202),F202="-"),ABS(N(F202)-(IF(ISNUMBER(SEARCH(":",SUBSTITUTE($R202," ",""))),SUM(INDIRECT("F"&amp;LEFT(SUBSTITUTE($R202," ",""),SEARCH(":",SUBSTITUTE($R202," ",""))-1)&amp;":F"&amp;MID(SUBSTITUTE($R202," ",""),SEARCH(":",SUBSTITUTE($R202," ",""))+1,10))),SUMPRODUCT(--ISNUMBER(SEARCH(","&amp;ROW(F$10:F$209)&amp;",",","&amp;SUBSTITUTE($R202," ","")&amp;",")),F$10:F$209)-SUMPRODUCT(--ISNUMBER(SEARCH(",-"&amp;ROW(F$10:F$209)&amp;",",","&amp;SUBSTITUTE($R202," ","")&amp;",")),F$10:F$209))))&lt;=1,TRUE()),IF(OR(ISNUMBER(G202),G202="-"),ABS(N(G202)-(IF(ISNUMBER(SEARCH(":",SUBSTITUTE($R202," ",""))),SUM(INDIRECT("G"&amp;LEFT(SUBSTITUTE($R202," ",""),SEARCH(":",SUBSTITUTE($R202," ",""))-1)&amp;":G"&amp;MID(SUBSTITUTE($R202," ",""),SEARCH(":",SUBSTITUTE($R202," ",""))+1,10))),SUMPRODUCT(--ISNUMBER(SEARCH(","&amp;ROW(G$10:G$209)&amp;",",","&amp;SUBSTITUTE($R202," ","")&amp;",")),G$10:G$209)-SUMPRODUCT(--ISNUMBER(SEARCH(",-"&amp;ROW(G$10:G$209)&amp;",",","&amp;SUBSTITUTE($R202," ","")&amp;",")),G$10:G$209))))&lt;=1,TRUE()),IF(OR(ISNUMBER(H202),H202="-"),ABS(N(H202)-(IF(ISNUMBER(SEARCH(":",SUBSTITUTE($R202," ",""))),SUM(INDIRECT("H"&amp;LEFT(SUBSTITUTE($R202," ",""),SEARCH(":",SUBSTITUTE($R202," ",""))-1)&amp;":H"&amp;MID(SUBSTITUTE($R202," ",""),SEARCH(":",SUBSTITUTE($R202," ",""))+1,10))),SUMPRODUCT(--ISNUMBER(SEARCH(","&amp;ROW(H$10:H$209)&amp;",",","&amp;SUBSTITUTE($R202," ","")&amp;",")),H$10:H$209)-SUMPRODUCT(--ISNUMBER(SEARCH(",-"&amp;ROW(H$10:H$209)&amp;",",","&amp;SUBSTITUTE($R202," ","")&amp;",")),H$10:H$209))))&lt;=1,TRUE())),"✓","✗"))</f>
        <v/>
      </c>
    </row>
    <row r="203" spans="19:19" x14ac:dyDescent="0.15">
      <c r="S203" t="str">
        <f t="shared" ca="1" si="6"/>
        <v/>
      </c>
    </row>
    <row r="204" spans="19:19" x14ac:dyDescent="0.15">
      <c r="S204" t="str">
        <f t="shared" ca="1" si="6"/>
        <v/>
      </c>
    </row>
    <row r="205" spans="19:19" x14ac:dyDescent="0.15">
      <c r="S205" t="str">
        <f t="shared" ca="1" si="6"/>
        <v/>
      </c>
    </row>
    <row r="206" spans="19:19" x14ac:dyDescent="0.15">
      <c r="S206" t="str">
        <f t="shared" ca="1" si="6"/>
        <v/>
      </c>
    </row>
    <row r="207" spans="19:19" x14ac:dyDescent="0.15">
      <c r="S207" t="str">
        <f t="shared" ca="1" si="6"/>
        <v/>
      </c>
    </row>
    <row r="208" spans="19:19" x14ac:dyDescent="0.15">
      <c r="S208" t="str">
        <f t="shared" ca="1" si="6"/>
        <v/>
      </c>
    </row>
    <row r="209" spans="19:19" x14ac:dyDescent="0.15">
      <c r="S209" t="str">
        <f t="shared" ca="1" si="6"/>
        <v/>
      </c>
    </row>
  </sheetData>
  <conditionalFormatting sqref="S10:S209">
    <cfRule type="cellIs" dxfId="5" priority="2" operator="equal">
      <formula>"✗"</formula>
    </cfRule>
    <cfRule type="cellIs" dxfId="4" priority="3" operator="equal">
      <formula>"✓"</formula>
    </cfRule>
  </conditionalFormatting>
  <dataValidations count="3">
    <dataValidation type="list" sqref="B1" xr:uid="{00000000-0002-0000-0400-000000000000}">
      <formula1>"financial_position,income,comprehensive_income,income_and_comprehensive_income,changes_in_equity,changes_in_net_assets,cash_flows,other"</formula1>
      <formula2>0</formula2>
    </dataValidation>
    <dataValidation type="list" sqref="B5" xr:uid="{00000000-0002-0000-0400-000001000000}">
      <formula1>"1,1000,1000000"</formula1>
      <formula2>0</formula2>
    </dataValidation>
    <dataValidation type="list" allowBlank="1" sqref="A10:A209" xr:uid="{00000000-0002-0000-0400-000002000000}">
      <formula1>"section,item,subtotal,total"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209"/>
  <sheetViews>
    <sheetView zoomScaleNormal="100" workbookViewId="0">
      <pane xSplit="3" ySplit="9" topLeftCell="D10" activePane="bottomRight" state="frozen"/>
      <selection pane="topRight" activeCell="D1" sqref="D1"/>
      <selection pane="bottomLeft" activeCell="A10" sqref="A10"/>
      <selection pane="bottomRight"/>
    </sheetView>
  </sheetViews>
  <sheetFormatPr baseColWidth="10" defaultColWidth="8.6640625" defaultRowHeight="13" x14ac:dyDescent="0.15"/>
  <cols>
    <col min="1" max="1" width="10" customWidth="1"/>
    <col min="2" max="2" width="52" customWidth="1"/>
    <col min="3" max="3" width="9" customWidth="1"/>
    <col min="4" max="17" width="16" customWidth="1"/>
    <col min="18" max="18" width="14" customWidth="1"/>
    <col min="19" max="19" width="7" customWidth="1"/>
    <col min="20" max="20" width="30" customWidth="1"/>
  </cols>
  <sheetData>
    <row r="1" spans="1:20" ht="15" x14ac:dyDescent="0.2">
      <c r="A1" s="5" t="s">
        <v>44</v>
      </c>
      <c r="B1" s="6" t="s">
        <v>199</v>
      </c>
    </row>
    <row r="2" spans="1:20" ht="15" x14ac:dyDescent="0.2">
      <c r="A2" s="5" t="s">
        <v>46</v>
      </c>
      <c r="B2" s="7" t="s">
        <v>200</v>
      </c>
    </row>
    <row r="3" spans="1:20" ht="15" x14ac:dyDescent="0.2">
      <c r="A3" s="5" t="s">
        <v>48</v>
      </c>
      <c r="B3" s="6" t="s">
        <v>201</v>
      </c>
      <c r="C3" t="s">
        <v>50</v>
      </c>
    </row>
    <row r="4" spans="1:20" ht="15" x14ac:dyDescent="0.2">
      <c r="A4" s="5" t="s">
        <v>51</v>
      </c>
      <c r="B4" s="6" t="s">
        <v>52</v>
      </c>
    </row>
    <row r="5" spans="1:20" ht="15" x14ac:dyDescent="0.2">
      <c r="A5" s="5" t="s">
        <v>53</v>
      </c>
      <c r="B5" s="6">
        <v>1</v>
      </c>
      <c r="C5" t="s">
        <v>54</v>
      </c>
    </row>
    <row r="7" spans="1:20" ht="15" customHeight="1" x14ac:dyDescent="0.15">
      <c r="A7" s="8" t="s">
        <v>55</v>
      </c>
      <c r="B7" s="8" t="s">
        <v>56</v>
      </c>
      <c r="C7" s="8" t="s">
        <v>57</v>
      </c>
      <c r="D7" s="8" t="s">
        <v>58</v>
      </c>
      <c r="E7" s="8" t="s">
        <v>59</v>
      </c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 t="s">
        <v>60</v>
      </c>
      <c r="S7" s="8" t="s">
        <v>61</v>
      </c>
      <c r="T7" s="8" t="s">
        <v>43</v>
      </c>
    </row>
    <row r="8" spans="1:20" ht="15" customHeight="1" x14ac:dyDescent="0.2">
      <c r="C8" t="s">
        <v>62</v>
      </c>
      <c r="D8" s="6" t="s">
        <v>28</v>
      </c>
      <c r="E8" s="6" t="s">
        <v>63</v>
      </c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</row>
    <row r="9" spans="1:20" ht="15" customHeight="1" x14ac:dyDescent="0.2">
      <c r="C9" t="s">
        <v>64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</row>
    <row r="10" spans="1:20" ht="15" customHeight="1" x14ac:dyDescent="0.2">
      <c r="A10" t="s">
        <v>98</v>
      </c>
      <c r="B10" s="9" t="s">
        <v>202</v>
      </c>
      <c r="D10" s="10"/>
      <c r="E10" s="10"/>
      <c r="S10" t="str">
        <f t="shared" ref="S10:S41" ca="1" si="0">IF($R10="","",IF(AND(IF(OR(ISNUMBER(D10),D10="-"),ABS(N(D10)-(IF(ISNUMBER(SEARCH(":",SUBSTITUTE($R10," ",""))),SUM(INDIRECT("D"&amp;LEFT(SUBSTITUTE($R10," ",""),SEARCH(":",SUBSTITUTE($R10," ",""))-1)&amp;":D"&amp;MID(SUBSTITUTE($R10," ",""),SEARCH(":",SUBSTITUTE($R10," ",""))+1,10))),SUMPRODUCT(--ISNUMBER(SEARCH(","&amp;ROW(D$10:D$209)&amp;",",","&amp;SUBSTITUTE($R10," ","")&amp;",")),D$10:D$209)-SUMPRODUCT(--ISNUMBER(SEARCH(",-"&amp;ROW(D$10:D$209)&amp;",",","&amp;SUBSTITUTE($R10," ","")&amp;",")),D$10:D$209))))&lt;=1,TRUE()),IF(OR(ISNUMBER(E10),E10="-"),ABS(N(E10)-(IF(ISNUMBER(SEARCH(":",SUBSTITUTE($R10," ",""))),SUM(INDIRECT("E"&amp;LEFT(SUBSTITUTE($R10," ",""),SEARCH(":",SUBSTITUTE($R10," ",""))-1)&amp;":E"&amp;MID(SUBSTITUTE($R10," ",""),SEARCH(":",SUBSTITUTE($R10," ",""))+1,10))),SUMPRODUCT(--ISNUMBER(SEARCH(","&amp;ROW(E$10:E$209)&amp;",",","&amp;SUBSTITUTE($R10," ","")&amp;",")),E$10:E$209)-SUMPRODUCT(--ISNUMBER(SEARCH(",-"&amp;ROW(E$10:E$209)&amp;",",","&amp;SUBSTITUTE($R10," ","")&amp;",")),E$10:E$209))))&lt;=1,TRUE())),"✓","✗"))</f>
        <v/>
      </c>
    </row>
    <row r="11" spans="1:20" ht="15" customHeight="1" x14ac:dyDescent="0.2">
      <c r="A11" t="s">
        <v>65</v>
      </c>
      <c r="B11" s="9" t="s">
        <v>203</v>
      </c>
      <c r="D11" s="10">
        <v>61756290</v>
      </c>
      <c r="E11" s="10">
        <v>-79099490</v>
      </c>
      <c r="S11" t="str">
        <f t="shared" ca="1" si="0"/>
        <v/>
      </c>
    </row>
    <row r="12" spans="1:20" ht="15" customHeight="1" x14ac:dyDescent="0.2">
      <c r="A12" t="s">
        <v>98</v>
      </c>
      <c r="B12" s="9" t="s">
        <v>204</v>
      </c>
      <c r="D12" s="10"/>
      <c r="E12" s="10"/>
      <c r="S12" t="str">
        <f t="shared" ca="1" si="0"/>
        <v/>
      </c>
    </row>
    <row r="13" spans="1:20" ht="15" customHeight="1" x14ac:dyDescent="0.2">
      <c r="A13" t="s">
        <v>65</v>
      </c>
      <c r="B13" s="9" t="s">
        <v>205</v>
      </c>
      <c r="C13" t="s">
        <v>79</v>
      </c>
      <c r="D13" s="10">
        <v>31650393</v>
      </c>
      <c r="E13" s="10">
        <v>32850364</v>
      </c>
      <c r="S13" t="str">
        <f t="shared" ca="1" si="0"/>
        <v/>
      </c>
    </row>
    <row r="14" spans="1:20" ht="15" customHeight="1" x14ac:dyDescent="0.2">
      <c r="A14" t="s">
        <v>65</v>
      </c>
      <c r="B14" s="9" t="s">
        <v>206</v>
      </c>
      <c r="C14" t="s">
        <v>121</v>
      </c>
      <c r="D14" s="10">
        <v>458060</v>
      </c>
      <c r="E14" s="10">
        <v>438467</v>
      </c>
      <c r="S14" t="str">
        <f t="shared" ca="1" si="0"/>
        <v/>
      </c>
    </row>
    <row r="15" spans="1:20" ht="15" customHeight="1" x14ac:dyDescent="0.2">
      <c r="A15" t="s">
        <v>65</v>
      </c>
      <c r="B15" s="9" t="s">
        <v>207</v>
      </c>
      <c r="C15" t="s">
        <v>123</v>
      </c>
      <c r="D15" s="10">
        <v>6301921</v>
      </c>
      <c r="E15" s="10">
        <v>8018776</v>
      </c>
      <c r="S15" t="str">
        <f t="shared" ca="1" si="0"/>
        <v/>
      </c>
    </row>
    <row r="16" spans="1:20" ht="15" customHeight="1" x14ac:dyDescent="0.2">
      <c r="A16" t="s">
        <v>65</v>
      </c>
      <c r="B16" s="9" t="s">
        <v>208</v>
      </c>
      <c r="C16" t="s">
        <v>79</v>
      </c>
      <c r="D16" s="10" t="s">
        <v>80</v>
      </c>
      <c r="E16" s="10">
        <v>3745426</v>
      </c>
      <c r="S16" t="str">
        <f t="shared" ca="1" si="0"/>
        <v/>
      </c>
    </row>
    <row r="17" spans="1:19" ht="15" customHeight="1" x14ac:dyDescent="0.2">
      <c r="A17" t="s">
        <v>65</v>
      </c>
      <c r="B17" s="9" t="s">
        <v>160</v>
      </c>
      <c r="C17" t="s">
        <v>161</v>
      </c>
      <c r="D17" s="10">
        <v>3507800</v>
      </c>
      <c r="E17" s="10">
        <v>4465300</v>
      </c>
      <c r="S17" t="str">
        <f t="shared" ca="1" si="0"/>
        <v/>
      </c>
    </row>
    <row r="18" spans="1:19" ht="15" customHeight="1" x14ac:dyDescent="0.2">
      <c r="A18" t="s">
        <v>65</v>
      </c>
      <c r="B18" s="9" t="s">
        <v>209</v>
      </c>
      <c r="C18" t="s">
        <v>49</v>
      </c>
      <c r="D18" s="10">
        <v>-222418</v>
      </c>
      <c r="E18" s="10">
        <v>-463245</v>
      </c>
      <c r="S18" t="str">
        <f t="shared" ca="1" si="0"/>
        <v/>
      </c>
    </row>
    <row r="19" spans="1:19" ht="15" customHeight="1" x14ac:dyDescent="0.2">
      <c r="A19" t="s">
        <v>65</v>
      </c>
      <c r="B19" s="9" t="s">
        <v>210</v>
      </c>
      <c r="D19" s="10" t="s">
        <v>80</v>
      </c>
      <c r="E19" s="10">
        <v>-40166</v>
      </c>
      <c r="S19" t="str">
        <f t="shared" ca="1" si="0"/>
        <v/>
      </c>
    </row>
    <row r="20" spans="1:19" ht="15" customHeight="1" x14ac:dyDescent="0.2">
      <c r="A20" t="s">
        <v>65</v>
      </c>
      <c r="B20" s="9" t="s">
        <v>211</v>
      </c>
      <c r="C20" t="s">
        <v>134</v>
      </c>
      <c r="D20" s="10">
        <v>208902</v>
      </c>
      <c r="E20" s="10">
        <v>4835471</v>
      </c>
      <c r="S20" t="str">
        <f t="shared" ca="1" si="0"/>
        <v/>
      </c>
    </row>
    <row r="21" spans="1:19" ht="15" customHeight="1" x14ac:dyDescent="0.2">
      <c r="A21" t="s">
        <v>65</v>
      </c>
      <c r="B21" s="9" t="s">
        <v>212</v>
      </c>
      <c r="C21" t="s">
        <v>132</v>
      </c>
      <c r="D21" s="10">
        <v>3858965</v>
      </c>
      <c r="E21" s="10">
        <v>5237466</v>
      </c>
      <c r="S21" t="str">
        <f t="shared" ca="1" si="0"/>
        <v/>
      </c>
    </row>
    <row r="22" spans="1:19" ht="15" customHeight="1" x14ac:dyDescent="0.2">
      <c r="A22" t="s">
        <v>65</v>
      </c>
      <c r="B22" s="9" t="s">
        <v>213</v>
      </c>
      <c r="D22" s="10">
        <v>4041814</v>
      </c>
      <c r="E22" s="10">
        <v>3761375</v>
      </c>
      <c r="S22" t="str">
        <f t="shared" ca="1" si="0"/>
        <v/>
      </c>
    </row>
    <row r="23" spans="1:19" ht="15" customHeight="1" x14ac:dyDescent="0.2">
      <c r="A23" t="s">
        <v>65</v>
      </c>
      <c r="B23" s="9" t="s">
        <v>214</v>
      </c>
      <c r="D23" s="10">
        <v>-8196843</v>
      </c>
      <c r="E23" s="10" t="s">
        <v>80</v>
      </c>
      <c r="S23" t="str">
        <f t="shared" ca="1" si="0"/>
        <v/>
      </c>
    </row>
    <row r="24" spans="1:19" ht="15" customHeight="1" x14ac:dyDescent="0.2">
      <c r="A24" t="s">
        <v>65</v>
      </c>
      <c r="B24" s="9" t="s">
        <v>215</v>
      </c>
      <c r="C24" t="s">
        <v>84</v>
      </c>
      <c r="D24" s="10">
        <v>28768613</v>
      </c>
      <c r="E24" s="10">
        <v>22832921</v>
      </c>
      <c r="S24" t="str">
        <f t="shared" ca="1" si="0"/>
        <v/>
      </c>
    </row>
    <row r="25" spans="1:19" ht="15" customHeight="1" x14ac:dyDescent="0.2">
      <c r="A25" t="s">
        <v>65</v>
      </c>
      <c r="B25" s="9" t="s">
        <v>85</v>
      </c>
      <c r="D25" s="10" t="s">
        <v>80</v>
      </c>
      <c r="E25" s="10">
        <v>324693</v>
      </c>
      <c r="S25" t="str">
        <f t="shared" ca="1" si="0"/>
        <v/>
      </c>
    </row>
    <row r="26" spans="1:19" ht="15" customHeight="1" x14ac:dyDescent="0.2">
      <c r="A26" t="s">
        <v>65</v>
      </c>
      <c r="B26" s="9" t="s">
        <v>216</v>
      </c>
      <c r="D26" s="10">
        <v>-13488411</v>
      </c>
      <c r="E26" s="10">
        <v>-3100874</v>
      </c>
      <c r="S26" t="str">
        <f t="shared" ca="1" si="0"/>
        <v/>
      </c>
    </row>
    <row r="27" spans="1:19" ht="15" customHeight="1" x14ac:dyDescent="0.2">
      <c r="A27" t="s">
        <v>70</v>
      </c>
      <c r="B27" s="4"/>
      <c r="D27" s="10">
        <v>118645086</v>
      </c>
      <c r="E27" s="10">
        <v>3806484</v>
      </c>
      <c r="R27" t="s">
        <v>217</v>
      </c>
      <c r="S27" t="str">
        <f t="shared" ca="1" si="0"/>
        <v>✓</v>
      </c>
    </row>
    <row r="28" spans="1:19" ht="15" customHeight="1" x14ac:dyDescent="0.2">
      <c r="A28" t="s">
        <v>98</v>
      </c>
      <c r="B28" s="9" t="s">
        <v>218</v>
      </c>
      <c r="D28" s="10"/>
      <c r="E28" s="10"/>
      <c r="S28" t="str">
        <f t="shared" ca="1" si="0"/>
        <v/>
      </c>
    </row>
    <row r="29" spans="1:19" ht="15" customHeight="1" x14ac:dyDescent="0.2">
      <c r="A29" t="s">
        <v>65</v>
      </c>
      <c r="B29" s="9" t="s">
        <v>131</v>
      </c>
      <c r="D29" s="10">
        <v>-25892186</v>
      </c>
      <c r="E29" s="10">
        <v>-27876420</v>
      </c>
      <c r="S29" t="str">
        <f t="shared" ca="1" si="0"/>
        <v/>
      </c>
    </row>
    <row r="30" spans="1:19" ht="15" customHeight="1" x14ac:dyDescent="0.2">
      <c r="A30" t="s">
        <v>65</v>
      </c>
      <c r="B30" s="9" t="s">
        <v>133</v>
      </c>
      <c r="D30" s="10">
        <v>9916544</v>
      </c>
      <c r="E30" s="10">
        <v>53251353</v>
      </c>
      <c r="S30" t="str">
        <f t="shared" ca="1" si="0"/>
        <v/>
      </c>
    </row>
    <row r="31" spans="1:19" ht="15" customHeight="1" x14ac:dyDescent="0.2">
      <c r="A31" t="s">
        <v>65</v>
      </c>
      <c r="B31" s="9" t="s">
        <v>219</v>
      </c>
      <c r="D31" s="10">
        <v>5096761</v>
      </c>
      <c r="E31" s="10">
        <v>55333296</v>
      </c>
      <c r="S31" t="str">
        <f t="shared" ca="1" si="0"/>
        <v/>
      </c>
    </row>
    <row r="32" spans="1:19" ht="15" customHeight="1" x14ac:dyDescent="0.2">
      <c r="A32" t="s">
        <v>70</v>
      </c>
      <c r="B32" s="9" t="s">
        <v>220</v>
      </c>
      <c r="D32" s="10">
        <v>107766205</v>
      </c>
      <c r="E32" s="10">
        <v>84514713</v>
      </c>
      <c r="R32" t="s">
        <v>221</v>
      </c>
      <c r="S32" t="str">
        <f t="shared" ca="1" si="0"/>
        <v>✓</v>
      </c>
    </row>
    <row r="33" spans="1:19" ht="15" customHeight="1" x14ac:dyDescent="0.2">
      <c r="A33" t="s">
        <v>65</v>
      </c>
      <c r="B33" s="9" t="s">
        <v>222</v>
      </c>
      <c r="C33" t="s">
        <v>223</v>
      </c>
      <c r="D33" s="10">
        <v>-909958</v>
      </c>
      <c r="E33" s="10">
        <v>-2154517</v>
      </c>
      <c r="S33" t="str">
        <f t="shared" ca="1" si="0"/>
        <v/>
      </c>
    </row>
    <row r="34" spans="1:19" ht="15" customHeight="1" x14ac:dyDescent="0.2">
      <c r="A34" t="s">
        <v>65</v>
      </c>
      <c r="B34" s="9" t="s">
        <v>224</v>
      </c>
      <c r="C34" t="s">
        <v>225</v>
      </c>
      <c r="D34" s="10">
        <v>-14922502</v>
      </c>
      <c r="E34" s="10">
        <v>-12217916</v>
      </c>
      <c r="S34" t="str">
        <f t="shared" ca="1" si="0"/>
        <v/>
      </c>
    </row>
    <row r="35" spans="1:19" ht="15" customHeight="1" x14ac:dyDescent="0.2">
      <c r="A35" t="s">
        <v>65</v>
      </c>
      <c r="B35" s="9" t="s">
        <v>226</v>
      </c>
      <c r="C35" t="s">
        <v>161</v>
      </c>
      <c r="D35" s="10">
        <v>-3071700</v>
      </c>
      <c r="E35" s="10">
        <v>-14959700</v>
      </c>
      <c r="S35" t="str">
        <f t="shared" ca="1" si="0"/>
        <v/>
      </c>
    </row>
    <row r="36" spans="1:19" ht="15" customHeight="1" x14ac:dyDescent="0.2">
      <c r="A36" t="s">
        <v>95</v>
      </c>
      <c r="B36" s="9" t="s">
        <v>227</v>
      </c>
      <c r="D36" s="10">
        <v>88862045</v>
      </c>
      <c r="E36" s="10">
        <v>55182580</v>
      </c>
      <c r="R36" t="s">
        <v>228</v>
      </c>
      <c r="S36" t="str">
        <f t="shared" ca="1" si="0"/>
        <v>✓</v>
      </c>
    </row>
    <row r="37" spans="1:19" ht="15" customHeight="1" x14ac:dyDescent="0.2">
      <c r="A37" t="s">
        <v>98</v>
      </c>
      <c r="B37" s="9" t="s">
        <v>229</v>
      </c>
      <c r="D37" s="10"/>
      <c r="E37" s="10"/>
      <c r="S37" t="str">
        <f t="shared" ca="1" si="0"/>
        <v/>
      </c>
    </row>
    <row r="38" spans="1:19" ht="15" customHeight="1" x14ac:dyDescent="0.2">
      <c r="A38" t="s">
        <v>65</v>
      </c>
      <c r="B38" s="9" t="s">
        <v>230</v>
      </c>
      <c r="C38" t="s">
        <v>79</v>
      </c>
      <c r="D38" s="10">
        <v>-11746314</v>
      </c>
      <c r="E38" s="10">
        <v>-6870666</v>
      </c>
      <c r="S38" t="str">
        <f t="shared" ca="1" si="0"/>
        <v/>
      </c>
    </row>
    <row r="39" spans="1:19" ht="15" customHeight="1" x14ac:dyDescent="0.2">
      <c r="A39" t="s">
        <v>65</v>
      </c>
      <c r="B39" s="9" t="s">
        <v>231</v>
      </c>
      <c r="C39" t="s">
        <v>121</v>
      </c>
      <c r="D39" s="10">
        <v>-228520</v>
      </c>
      <c r="E39" s="10">
        <v>-265277</v>
      </c>
      <c r="S39" t="str">
        <f t="shared" ca="1" si="0"/>
        <v/>
      </c>
    </row>
    <row r="40" spans="1:19" ht="15" customHeight="1" x14ac:dyDescent="0.2">
      <c r="A40" t="s">
        <v>65</v>
      </c>
      <c r="B40" s="9" t="s">
        <v>232</v>
      </c>
      <c r="C40" t="s">
        <v>86</v>
      </c>
      <c r="D40" s="10" t="s">
        <v>80</v>
      </c>
      <c r="E40" s="10">
        <v>-730486</v>
      </c>
      <c r="S40" t="str">
        <f t="shared" ca="1" si="0"/>
        <v/>
      </c>
    </row>
    <row r="41" spans="1:19" ht="15" customHeight="1" x14ac:dyDescent="0.2">
      <c r="A41" t="s">
        <v>65</v>
      </c>
      <c r="B41" s="9" t="s">
        <v>233</v>
      </c>
      <c r="C41" t="s">
        <v>86</v>
      </c>
      <c r="D41" s="10" t="s">
        <v>80</v>
      </c>
      <c r="E41" s="10">
        <v>405793</v>
      </c>
      <c r="S41" t="str">
        <f t="shared" ca="1" si="0"/>
        <v/>
      </c>
    </row>
    <row r="42" spans="1:19" ht="15" customHeight="1" x14ac:dyDescent="0.2">
      <c r="A42" t="s">
        <v>65</v>
      </c>
      <c r="B42" s="9" t="s">
        <v>234</v>
      </c>
      <c r="D42" s="10">
        <v>280060</v>
      </c>
      <c r="E42" s="10">
        <v>1959241</v>
      </c>
      <c r="S42" t="str">
        <f t="shared" ref="S42:S73" ca="1" si="1">IF($R42="","",IF(AND(IF(OR(ISNUMBER(D42),D42="-"),ABS(N(D42)-(IF(ISNUMBER(SEARCH(":",SUBSTITUTE($R42," ",""))),SUM(INDIRECT("D"&amp;LEFT(SUBSTITUTE($R42," ",""),SEARCH(":",SUBSTITUTE($R42," ",""))-1)&amp;":D"&amp;MID(SUBSTITUTE($R42," ",""),SEARCH(":",SUBSTITUTE($R42," ",""))+1,10))),SUMPRODUCT(--ISNUMBER(SEARCH(","&amp;ROW(D$10:D$209)&amp;",",","&amp;SUBSTITUTE($R42," ","")&amp;",")),D$10:D$209)-SUMPRODUCT(--ISNUMBER(SEARCH(",-"&amp;ROW(D$10:D$209)&amp;",",","&amp;SUBSTITUTE($R42," ","")&amp;",")),D$10:D$209))))&lt;=1,TRUE()),IF(OR(ISNUMBER(E42),E42="-"),ABS(N(E42)-(IF(ISNUMBER(SEARCH(":",SUBSTITUTE($R42," ",""))),SUM(INDIRECT("E"&amp;LEFT(SUBSTITUTE($R42," ",""),SEARCH(":",SUBSTITUTE($R42," ",""))-1)&amp;":E"&amp;MID(SUBSTITUTE($R42," ",""),SEARCH(":",SUBSTITUTE($R42," ",""))+1,10))),SUMPRODUCT(--ISNUMBER(SEARCH(","&amp;ROW(E$10:E$209)&amp;",",","&amp;SUBSTITUTE($R42," ","")&amp;",")),E$10:E$209)-SUMPRODUCT(--ISNUMBER(SEARCH(",-"&amp;ROW(E$10:E$209)&amp;",",","&amp;SUBSTITUTE($R42," ","")&amp;",")),E$10:E$209))))&lt;=1,TRUE())),"✓","✗"))</f>
        <v/>
      </c>
    </row>
    <row r="43" spans="1:19" ht="15" customHeight="1" x14ac:dyDescent="0.2">
      <c r="A43" t="s">
        <v>95</v>
      </c>
      <c r="B43" s="9" t="s">
        <v>235</v>
      </c>
      <c r="D43" s="10">
        <v>-11694774</v>
      </c>
      <c r="E43" s="10">
        <v>-5501395</v>
      </c>
      <c r="R43" t="s">
        <v>236</v>
      </c>
      <c r="S43" t="str">
        <f t="shared" ca="1" si="1"/>
        <v>✓</v>
      </c>
    </row>
    <row r="44" spans="1:19" ht="15" customHeight="1" x14ac:dyDescent="0.2">
      <c r="A44" t="s">
        <v>98</v>
      </c>
      <c r="B44" s="9" t="s">
        <v>237</v>
      </c>
      <c r="D44" s="10"/>
      <c r="E44" s="10"/>
      <c r="S44" t="str">
        <f t="shared" ca="1" si="1"/>
        <v/>
      </c>
    </row>
    <row r="45" spans="1:19" ht="15" customHeight="1" x14ac:dyDescent="0.2">
      <c r="A45" t="s">
        <v>65</v>
      </c>
      <c r="B45" s="9" t="s">
        <v>238</v>
      </c>
      <c r="D45" s="10">
        <v>753879615</v>
      </c>
      <c r="E45" s="10">
        <v>797441324</v>
      </c>
      <c r="S45" t="str">
        <f t="shared" ca="1" si="1"/>
        <v/>
      </c>
    </row>
    <row r="46" spans="1:19" ht="15" customHeight="1" x14ac:dyDescent="0.2">
      <c r="A46" t="s">
        <v>65</v>
      </c>
      <c r="B46" s="9" t="s">
        <v>239</v>
      </c>
      <c r="D46" s="10">
        <v>-920297563</v>
      </c>
      <c r="E46" s="10">
        <v>-754940363</v>
      </c>
      <c r="S46" t="str">
        <f t="shared" ca="1" si="1"/>
        <v/>
      </c>
    </row>
    <row r="47" spans="1:19" ht="15" customHeight="1" x14ac:dyDescent="0.2">
      <c r="A47" t="s">
        <v>65</v>
      </c>
      <c r="B47" s="9" t="s">
        <v>240</v>
      </c>
      <c r="D47" s="10">
        <v>-8912119</v>
      </c>
      <c r="E47" s="10">
        <v>-8065329</v>
      </c>
      <c r="S47" t="str">
        <f t="shared" ca="1" si="1"/>
        <v/>
      </c>
    </row>
    <row r="48" spans="1:19" ht="15" customHeight="1" x14ac:dyDescent="0.2">
      <c r="A48" t="s">
        <v>65</v>
      </c>
      <c r="B48" s="9" t="s">
        <v>241</v>
      </c>
      <c r="D48" s="10">
        <v>65000000</v>
      </c>
      <c r="E48" s="10" t="s">
        <v>80</v>
      </c>
      <c r="S48" t="str">
        <f t="shared" ca="1" si="1"/>
        <v/>
      </c>
    </row>
    <row r="49" spans="1:20" ht="15" customHeight="1" x14ac:dyDescent="0.2">
      <c r="A49" t="s">
        <v>65</v>
      </c>
      <c r="B49" s="9" t="s">
        <v>242</v>
      </c>
      <c r="D49" s="10" t="s">
        <v>80</v>
      </c>
      <c r="E49" s="10">
        <v>-18291178</v>
      </c>
      <c r="S49" t="str">
        <f t="shared" ca="1" si="1"/>
        <v/>
      </c>
    </row>
    <row r="50" spans="1:20" ht="15" customHeight="1" x14ac:dyDescent="0.2">
      <c r="A50" t="s">
        <v>65</v>
      </c>
      <c r="B50" s="9" t="s">
        <v>243</v>
      </c>
      <c r="C50" t="s">
        <v>155</v>
      </c>
      <c r="D50" s="10">
        <v>-8225500</v>
      </c>
      <c r="E50" s="10">
        <v>-16668000</v>
      </c>
      <c r="S50" t="str">
        <f t="shared" ca="1" si="1"/>
        <v/>
      </c>
    </row>
    <row r="51" spans="1:20" ht="15" customHeight="1" x14ac:dyDescent="0.2">
      <c r="A51" t="s">
        <v>65</v>
      </c>
      <c r="B51" s="9" t="s">
        <v>244</v>
      </c>
      <c r="D51" s="10">
        <v>-27131727</v>
      </c>
      <c r="E51" s="10">
        <v>-21127463</v>
      </c>
      <c r="S51" t="str">
        <f t="shared" ca="1" si="1"/>
        <v/>
      </c>
    </row>
    <row r="52" spans="1:20" ht="79.25" customHeight="1" x14ac:dyDescent="0.2">
      <c r="A52" t="s">
        <v>95</v>
      </c>
      <c r="B52" s="9" t="s">
        <v>245</v>
      </c>
      <c r="D52" s="10">
        <v>-145687294</v>
      </c>
      <c r="E52" s="10">
        <v>-21681009</v>
      </c>
      <c r="R52" t="s">
        <v>246</v>
      </c>
      <c r="S52" t="str">
        <f t="shared" ca="1" si="1"/>
        <v>✗</v>
      </c>
      <c r="T52" s="4" t="s">
        <v>247</v>
      </c>
    </row>
    <row r="53" spans="1:20" ht="15" customHeight="1" x14ac:dyDescent="0.2">
      <c r="A53" t="s">
        <v>95</v>
      </c>
      <c r="B53" s="9" t="s">
        <v>248</v>
      </c>
      <c r="D53" s="10">
        <v>-68520023</v>
      </c>
      <c r="E53" s="10">
        <v>28000176</v>
      </c>
      <c r="R53" t="s">
        <v>249</v>
      </c>
      <c r="S53" t="str">
        <f t="shared" ca="1" si="1"/>
        <v>✓</v>
      </c>
    </row>
    <row r="54" spans="1:20" ht="15" customHeight="1" x14ac:dyDescent="0.2">
      <c r="A54" t="s">
        <v>65</v>
      </c>
      <c r="B54" s="9" t="s">
        <v>250</v>
      </c>
      <c r="D54" s="10">
        <v>-7129445</v>
      </c>
      <c r="E54" s="10">
        <v>-14569364</v>
      </c>
      <c r="S54" t="str">
        <f t="shared" ca="1" si="1"/>
        <v/>
      </c>
    </row>
    <row r="55" spans="1:20" ht="15" customHeight="1" x14ac:dyDescent="0.2">
      <c r="A55" t="s">
        <v>65</v>
      </c>
      <c r="B55" s="9" t="s">
        <v>251</v>
      </c>
      <c r="D55" s="10">
        <v>110960325</v>
      </c>
      <c r="E55" s="10">
        <v>97529513</v>
      </c>
      <c r="S55" t="str">
        <f t="shared" ca="1" si="1"/>
        <v/>
      </c>
    </row>
    <row r="56" spans="1:20" ht="15" customHeight="1" x14ac:dyDescent="0.2">
      <c r="A56" t="s">
        <v>95</v>
      </c>
      <c r="B56" s="9" t="s">
        <v>252</v>
      </c>
      <c r="C56" t="s">
        <v>138</v>
      </c>
      <c r="D56" s="10">
        <v>35310857</v>
      </c>
      <c r="E56" s="10">
        <v>110960325</v>
      </c>
      <c r="R56" t="s">
        <v>253</v>
      </c>
      <c r="S56" t="str">
        <f t="shared" ca="1" si="1"/>
        <v>✓</v>
      </c>
    </row>
    <row r="57" spans="1:20" x14ac:dyDescent="0.15">
      <c r="S57" t="str">
        <f t="shared" ca="1" si="1"/>
        <v/>
      </c>
    </row>
    <row r="58" spans="1:20" x14ac:dyDescent="0.15">
      <c r="S58" t="str">
        <f t="shared" ca="1" si="1"/>
        <v/>
      </c>
    </row>
    <row r="59" spans="1:20" x14ac:dyDescent="0.15">
      <c r="S59" t="str">
        <f t="shared" ca="1" si="1"/>
        <v/>
      </c>
    </row>
    <row r="60" spans="1:20" x14ac:dyDescent="0.15">
      <c r="S60" t="str">
        <f t="shared" ca="1" si="1"/>
        <v/>
      </c>
    </row>
    <row r="61" spans="1:20" x14ac:dyDescent="0.15">
      <c r="S61" t="str">
        <f t="shared" ca="1" si="1"/>
        <v/>
      </c>
    </row>
    <row r="62" spans="1:20" x14ac:dyDescent="0.15">
      <c r="S62" t="str">
        <f t="shared" ca="1" si="1"/>
        <v/>
      </c>
    </row>
    <row r="63" spans="1:20" x14ac:dyDescent="0.15">
      <c r="S63" t="str">
        <f t="shared" ca="1" si="1"/>
        <v/>
      </c>
    </row>
    <row r="64" spans="1:20" x14ac:dyDescent="0.15">
      <c r="S64" t="str">
        <f t="shared" ca="1" si="1"/>
        <v/>
      </c>
    </row>
    <row r="65" spans="19:19" x14ac:dyDescent="0.15">
      <c r="S65" t="str">
        <f t="shared" ca="1" si="1"/>
        <v/>
      </c>
    </row>
    <row r="66" spans="19:19" x14ac:dyDescent="0.15">
      <c r="S66" t="str">
        <f t="shared" ca="1" si="1"/>
        <v/>
      </c>
    </row>
    <row r="67" spans="19:19" x14ac:dyDescent="0.15">
      <c r="S67" t="str">
        <f t="shared" ca="1" si="1"/>
        <v/>
      </c>
    </row>
    <row r="68" spans="19:19" x14ac:dyDescent="0.15">
      <c r="S68" t="str">
        <f t="shared" ca="1" si="1"/>
        <v/>
      </c>
    </row>
    <row r="69" spans="19:19" x14ac:dyDescent="0.15">
      <c r="S69" t="str">
        <f t="shared" ca="1" si="1"/>
        <v/>
      </c>
    </row>
    <row r="70" spans="19:19" x14ac:dyDescent="0.15">
      <c r="S70" t="str">
        <f t="shared" ca="1" si="1"/>
        <v/>
      </c>
    </row>
    <row r="71" spans="19:19" x14ac:dyDescent="0.15">
      <c r="S71" t="str">
        <f t="shared" ca="1" si="1"/>
        <v/>
      </c>
    </row>
    <row r="72" spans="19:19" x14ac:dyDescent="0.15">
      <c r="S72" t="str">
        <f t="shared" ca="1" si="1"/>
        <v/>
      </c>
    </row>
    <row r="73" spans="19:19" x14ac:dyDescent="0.15">
      <c r="S73" t="str">
        <f t="shared" ca="1" si="1"/>
        <v/>
      </c>
    </row>
    <row r="74" spans="19:19" x14ac:dyDescent="0.15">
      <c r="S74" t="str">
        <f t="shared" ref="S74:S105" ca="1" si="2">IF($R74="","",IF(AND(IF(OR(ISNUMBER(D74),D74="-"),ABS(N(D74)-(IF(ISNUMBER(SEARCH(":",SUBSTITUTE($R74," ",""))),SUM(INDIRECT("D"&amp;LEFT(SUBSTITUTE($R74," ",""),SEARCH(":",SUBSTITUTE($R74," ",""))-1)&amp;":D"&amp;MID(SUBSTITUTE($R74," ",""),SEARCH(":",SUBSTITUTE($R74," ",""))+1,10))),SUMPRODUCT(--ISNUMBER(SEARCH(","&amp;ROW(D$10:D$209)&amp;",",","&amp;SUBSTITUTE($R74," ","")&amp;",")),D$10:D$209)-SUMPRODUCT(--ISNUMBER(SEARCH(",-"&amp;ROW(D$10:D$209)&amp;",",","&amp;SUBSTITUTE($R74," ","")&amp;",")),D$10:D$209))))&lt;=1,TRUE()),IF(OR(ISNUMBER(E74),E74="-"),ABS(N(E74)-(IF(ISNUMBER(SEARCH(":",SUBSTITUTE($R74," ",""))),SUM(INDIRECT("E"&amp;LEFT(SUBSTITUTE($R74," ",""),SEARCH(":",SUBSTITUTE($R74," ",""))-1)&amp;":E"&amp;MID(SUBSTITUTE($R74," ",""),SEARCH(":",SUBSTITUTE($R74," ",""))+1,10))),SUMPRODUCT(--ISNUMBER(SEARCH(","&amp;ROW(E$10:E$209)&amp;",",","&amp;SUBSTITUTE($R74," ","")&amp;",")),E$10:E$209)-SUMPRODUCT(--ISNUMBER(SEARCH(",-"&amp;ROW(E$10:E$209)&amp;",",","&amp;SUBSTITUTE($R74," ","")&amp;",")),E$10:E$209))))&lt;=1,TRUE())),"✓","✗"))</f>
        <v/>
      </c>
    </row>
    <row r="75" spans="19:19" x14ac:dyDescent="0.15">
      <c r="S75" t="str">
        <f t="shared" ca="1" si="2"/>
        <v/>
      </c>
    </row>
    <row r="76" spans="19:19" x14ac:dyDescent="0.15">
      <c r="S76" t="str">
        <f t="shared" ca="1" si="2"/>
        <v/>
      </c>
    </row>
    <row r="77" spans="19:19" x14ac:dyDescent="0.15">
      <c r="S77" t="str">
        <f t="shared" ca="1" si="2"/>
        <v/>
      </c>
    </row>
    <row r="78" spans="19:19" x14ac:dyDescent="0.15">
      <c r="S78" t="str">
        <f t="shared" ca="1" si="2"/>
        <v/>
      </c>
    </row>
    <row r="79" spans="19:19" x14ac:dyDescent="0.15">
      <c r="S79" t="str">
        <f t="shared" ca="1" si="2"/>
        <v/>
      </c>
    </row>
    <row r="80" spans="19:19" x14ac:dyDescent="0.15">
      <c r="S80" t="str">
        <f t="shared" ca="1" si="2"/>
        <v/>
      </c>
    </row>
    <row r="81" spans="19:19" x14ac:dyDescent="0.15">
      <c r="S81" t="str">
        <f t="shared" ca="1" si="2"/>
        <v/>
      </c>
    </row>
    <row r="82" spans="19:19" x14ac:dyDescent="0.15">
      <c r="S82" t="str">
        <f t="shared" ca="1" si="2"/>
        <v/>
      </c>
    </row>
    <row r="83" spans="19:19" x14ac:dyDescent="0.15">
      <c r="S83" t="str">
        <f t="shared" ca="1" si="2"/>
        <v/>
      </c>
    </row>
    <row r="84" spans="19:19" x14ac:dyDescent="0.15">
      <c r="S84" t="str">
        <f t="shared" ca="1" si="2"/>
        <v/>
      </c>
    </row>
    <row r="85" spans="19:19" x14ac:dyDescent="0.15">
      <c r="S85" t="str">
        <f t="shared" ca="1" si="2"/>
        <v/>
      </c>
    </row>
    <row r="86" spans="19:19" x14ac:dyDescent="0.15">
      <c r="S86" t="str">
        <f t="shared" ca="1" si="2"/>
        <v/>
      </c>
    </row>
    <row r="87" spans="19:19" x14ac:dyDescent="0.15">
      <c r="S87" t="str">
        <f t="shared" ca="1" si="2"/>
        <v/>
      </c>
    </row>
    <row r="88" spans="19:19" x14ac:dyDescent="0.15">
      <c r="S88" t="str">
        <f t="shared" ca="1" si="2"/>
        <v/>
      </c>
    </row>
    <row r="89" spans="19:19" x14ac:dyDescent="0.15">
      <c r="S89" t="str">
        <f t="shared" ca="1" si="2"/>
        <v/>
      </c>
    </row>
    <row r="90" spans="19:19" x14ac:dyDescent="0.15">
      <c r="S90" t="str">
        <f t="shared" ca="1" si="2"/>
        <v/>
      </c>
    </row>
    <row r="91" spans="19:19" x14ac:dyDescent="0.15">
      <c r="S91" t="str">
        <f t="shared" ca="1" si="2"/>
        <v/>
      </c>
    </row>
    <row r="92" spans="19:19" x14ac:dyDescent="0.15">
      <c r="S92" t="str">
        <f t="shared" ca="1" si="2"/>
        <v/>
      </c>
    </row>
    <row r="93" spans="19:19" x14ac:dyDescent="0.15">
      <c r="S93" t="str">
        <f t="shared" ca="1" si="2"/>
        <v/>
      </c>
    </row>
    <row r="94" spans="19:19" x14ac:dyDescent="0.15">
      <c r="S94" t="str">
        <f t="shared" ca="1" si="2"/>
        <v/>
      </c>
    </row>
    <row r="95" spans="19:19" x14ac:dyDescent="0.15">
      <c r="S95" t="str">
        <f t="shared" ca="1" si="2"/>
        <v/>
      </c>
    </row>
    <row r="96" spans="19:19" x14ac:dyDescent="0.15">
      <c r="S96" t="str">
        <f t="shared" ca="1" si="2"/>
        <v/>
      </c>
    </row>
    <row r="97" spans="19:19" x14ac:dyDescent="0.15">
      <c r="S97" t="str">
        <f t="shared" ca="1" si="2"/>
        <v/>
      </c>
    </row>
    <row r="98" spans="19:19" x14ac:dyDescent="0.15">
      <c r="S98" t="str">
        <f t="shared" ca="1" si="2"/>
        <v/>
      </c>
    </row>
    <row r="99" spans="19:19" x14ac:dyDescent="0.15">
      <c r="S99" t="str">
        <f t="shared" ca="1" si="2"/>
        <v/>
      </c>
    </row>
    <row r="100" spans="19:19" x14ac:dyDescent="0.15">
      <c r="S100" t="str">
        <f t="shared" ca="1" si="2"/>
        <v/>
      </c>
    </row>
    <row r="101" spans="19:19" x14ac:dyDescent="0.15">
      <c r="S101" t="str">
        <f t="shared" ca="1" si="2"/>
        <v/>
      </c>
    </row>
    <row r="102" spans="19:19" x14ac:dyDescent="0.15">
      <c r="S102" t="str">
        <f t="shared" ca="1" si="2"/>
        <v/>
      </c>
    </row>
    <row r="103" spans="19:19" x14ac:dyDescent="0.15">
      <c r="S103" t="str">
        <f t="shared" ca="1" si="2"/>
        <v/>
      </c>
    </row>
    <row r="104" spans="19:19" x14ac:dyDescent="0.15">
      <c r="S104" t="str">
        <f t="shared" ca="1" si="2"/>
        <v/>
      </c>
    </row>
    <row r="105" spans="19:19" x14ac:dyDescent="0.15">
      <c r="S105" t="str">
        <f t="shared" ca="1" si="2"/>
        <v/>
      </c>
    </row>
    <row r="106" spans="19:19" x14ac:dyDescent="0.15">
      <c r="S106" t="str">
        <f t="shared" ref="S106:S137" ca="1" si="3">IF($R106="","",IF(AND(IF(OR(ISNUMBER(D106),D106="-"),ABS(N(D106)-(IF(ISNUMBER(SEARCH(":",SUBSTITUTE($R106," ",""))),SUM(INDIRECT("D"&amp;LEFT(SUBSTITUTE($R106," ",""),SEARCH(":",SUBSTITUTE($R106," ",""))-1)&amp;":D"&amp;MID(SUBSTITUTE($R106," ",""),SEARCH(":",SUBSTITUTE($R106," ",""))+1,10))),SUMPRODUCT(--ISNUMBER(SEARCH(","&amp;ROW(D$10:D$209)&amp;",",","&amp;SUBSTITUTE($R106," ","")&amp;",")),D$10:D$209)-SUMPRODUCT(--ISNUMBER(SEARCH(",-"&amp;ROW(D$10:D$209)&amp;",",","&amp;SUBSTITUTE($R106," ","")&amp;",")),D$10:D$209))))&lt;=1,TRUE()),IF(OR(ISNUMBER(E106),E106="-"),ABS(N(E106)-(IF(ISNUMBER(SEARCH(":",SUBSTITUTE($R106," ",""))),SUM(INDIRECT("E"&amp;LEFT(SUBSTITUTE($R106," ",""),SEARCH(":",SUBSTITUTE($R106," ",""))-1)&amp;":E"&amp;MID(SUBSTITUTE($R106," ",""),SEARCH(":",SUBSTITUTE($R106," ",""))+1,10))),SUMPRODUCT(--ISNUMBER(SEARCH(","&amp;ROW(E$10:E$209)&amp;",",","&amp;SUBSTITUTE($R106," ","")&amp;",")),E$10:E$209)-SUMPRODUCT(--ISNUMBER(SEARCH(",-"&amp;ROW(E$10:E$209)&amp;",",","&amp;SUBSTITUTE($R106," ","")&amp;",")),E$10:E$209))))&lt;=1,TRUE())),"✓","✗"))</f>
        <v/>
      </c>
    </row>
    <row r="107" spans="19:19" x14ac:dyDescent="0.15">
      <c r="S107" t="str">
        <f t="shared" ca="1" si="3"/>
        <v/>
      </c>
    </row>
    <row r="108" spans="19:19" x14ac:dyDescent="0.15">
      <c r="S108" t="str">
        <f t="shared" ca="1" si="3"/>
        <v/>
      </c>
    </row>
    <row r="109" spans="19:19" x14ac:dyDescent="0.15">
      <c r="S109" t="str">
        <f t="shared" ca="1" si="3"/>
        <v/>
      </c>
    </row>
    <row r="110" spans="19:19" x14ac:dyDescent="0.15">
      <c r="S110" t="str">
        <f t="shared" ca="1" si="3"/>
        <v/>
      </c>
    </row>
    <row r="111" spans="19:19" x14ac:dyDescent="0.15">
      <c r="S111" t="str">
        <f t="shared" ca="1" si="3"/>
        <v/>
      </c>
    </row>
    <row r="112" spans="19:19" x14ac:dyDescent="0.15">
      <c r="S112" t="str">
        <f t="shared" ca="1" si="3"/>
        <v/>
      </c>
    </row>
    <row r="113" spans="19:19" x14ac:dyDescent="0.15">
      <c r="S113" t="str">
        <f t="shared" ca="1" si="3"/>
        <v/>
      </c>
    </row>
    <row r="114" spans="19:19" x14ac:dyDescent="0.15">
      <c r="S114" t="str">
        <f t="shared" ca="1" si="3"/>
        <v/>
      </c>
    </row>
    <row r="115" spans="19:19" x14ac:dyDescent="0.15">
      <c r="S115" t="str">
        <f t="shared" ca="1" si="3"/>
        <v/>
      </c>
    </row>
    <row r="116" spans="19:19" x14ac:dyDescent="0.15">
      <c r="S116" t="str">
        <f t="shared" ca="1" si="3"/>
        <v/>
      </c>
    </row>
    <row r="117" spans="19:19" x14ac:dyDescent="0.15">
      <c r="S117" t="str">
        <f t="shared" ca="1" si="3"/>
        <v/>
      </c>
    </row>
    <row r="118" spans="19:19" x14ac:dyDescent="0.15">
      <c r="S118" t="str">
        <f t="shared" ca="1" si="3"/>
        <v/>
      </c>
    </row>
    <row r="119" spans="19:19" x14ac:dyDescent="0.15">
      <c r="S119" t="str">
        <f t="shared" ca="1" si="3"/>
        <v/>
      </c>
    </row>
    <row r="120" spans="19:19" x14ac:dyDescent="0.15">
      <c r="S120" t="str">
        <f t="shared" ca="1" si="3"/>
        <v/>
      </c>
    </row>
    <row r="121" spans="19:19" x14ac:dyDescent="0.15">
      <c r="S121" t="str">
        <f t="shared" ca="1" si="3"/>
        <v/>
      </c>
    </row>
    <row r="122" spans="19:19" x14ac:dyDescent="0.15">
      <c r="S122" t="str">
        <f t="shared" ca="1" si="3"/>
        <v/>
      </c>
    </row>
    <row r="123" spans="19:19" x14ac:dyDescent="0.15">
      <c r="S123" t="str">
        <f t="shared" ca="1" si="3"/>
        <v/>
      </c>
    </row>
    <row r="124" spans="19:19" x14ac:dyDescent="0.15">
      <c r="S124" t="str">
        <f t="shared" ca="1" si="3"/>
        <v/>
      </c>
    </row>
    <row r="125" spans="19:19" x14ac:dyDescent="0.15">
      <c r="S125" t="str">
        <f t="shared" ca="1" si="3"/>
        <v/>
      </c>
    </row>
    <row r="126" spans="19:19" x14ac:dyDescent="0.15">
      <c r="S126" t="str">
        <f t="shared" ca="1" si="3"/>
        <v/>
      </c>
    </row>
    <row r="127" spans="19:19" x14ac:dyDescent="0.15">
      <c r="S127" t="str">
        <f t="shared" ca="1" si="3"/>
        <v/>
      </c>
    </row>
    <row r="128" spans="19:19" x14ac:dyDescent="0.15">
      <c r="S128" t="str">
        <f t="shared" ca="1" si="3"/>
        <v/>
      </c>
    </row>
    <row r="129" spans="19:19" x14ac:dyDescent="0.15">
      <c r="S129" t="str">
        <f t="shared" ca="1" si="3"/>
        <v/>
      </c>
    </row>
    <row r="130" spans="19:19" x14ac:dyDescent="0.15">
      <c r="S130" t="str">
        <f t="shared" ca="1" si="3"/>
        <v/>
      </c>
    </row>
    <row r="131" spans="19:19" x14ac:dyDescent="0.15">
      <c r="S131" t="str">
        <f t="shared" ca="1" si="3"/>
        <v/>
      </c>
    </row>
    <row r="132" spans="19:19" x14ac:dyDescent="0.15">
      <c r="S132" t="str">
        <f t="shared" ca="1" si="3"/>
        <v/>
      </c>
    </row>
    <row r="133" spans="19:19" x14ac:dyDescent="0.15">
      <c r="S133" t="str">
        <f t="shared" ca="1" si="3"/>
        <v/>
      </c>
    </row>
    <row r="134" spans="19:19" x14ac:dyDescent="0.15">
      <c r="S134" t="str">
        <f t="shared" ca="1" si="3"/>
        <v/>
      </c>
    </row>
    <row r="135" spans="19:19" x14ac:dyDescent="0.15">
      <c r="S135" t="str">
        <f t="shared" ca="1" si="3"/>
        <v/>
      </c>
    </row>
    <row r="136" spans="19:19" x14ac:dyDescent="0.15">
      <c r="S136" t="str">
        <f t="shared" ca="1" si="3"/>
        <v/>
      </c>
    </row>
    <row r="137" spans="19:19" x14ac:dyDescent="0.15">
      <c r="S137" t="str">
        <f t="shared" ca="1" si="3"/>
        <v/>
      </c>
    </row>
    <row r="138" spans="19:19" x14ac:dyDescent="0.15">
      <c r="S138" t="str">
        <f t="shared" ref="S138:S169" ca="1" si="4">IF($R138="","",IF(AND(IF(OR(ISNUMBER(D138),D138="-"),ABS(N(D138)-(IF(ISNUMBER(SEARCH(":",SUBSTITUTE($R138," ",""))),SUM(INDIRECT("D"&amp;LEFT(SUBSTITUTE($R138," ",""),SEARCH(":",SUBSTITUTE($R138," ",""))-1)&amp;":D"&amp;MID(SUBSTITUTE($R138," ",""),SEARCH(":",SUBSTITUTE($R138," ",""))+1,10))),SUMPRODUCT(--ISNUMBER(SEARCH(","&amp;ROW(D$10:D$209)&amp;",",","&amp;SUBSTITUTE($R138," ","")&amp;",")),D$10:D$209)-SUMPRODUCT(--ISNUMBER(SEARCH(",-"&amp;ROW(D$10:D$209)&amp;",",","&amp;SUBSTITUTE($R138," ","")&amp;",")),D$10:D$209))))&lt;=1,TRUE()),IF(OR(ISNUMBER(E138),E138="-"),ABS(N(E138)-(IF(ISNUMBER(SEARCH(":",SUBSTITUTE($R138," ",""))),SUM(INDIRECT("E"&amp;LEFT(SUBSTITUTE($R138," ",""),SEARCH(":",SUBSTITUTE($R138," ",""))-1)&amp;":E"&amp;MID(SUBSTITUTE($R138," ",""),SEARCH(":",SUBSTITUTE($R138," ",""))+1,10))),SUMPRODUCT(--ISNUMBER(SEARCH(","&amp;ROW(E$10:E$209)&amp;",",","&amp;SUBSTITUTE($R138," ","")&amp;",")),E$10:E$209)-SUMPRODUCT(--ISNUMBER(SEARCH(",-"&amp;ROW(E$10:E$209)&amp;",",","&amp;SUBSTITUTE($R138," ","")&amp;",")),E$10:E$209))))&lt;=1,TRUE())),"✓","✗"))</f>
        <v/>
      </c>
    </row>
    <row r="139" spans="19:19" x14ac:dyDescent="0.15">
      <c r="S139" t="str">
        <f t="shared" ca="1" si="4"/>
        <v/>
      </c>
    </row>
    <row r="140" spans="19:19" x14ac:dyDescent="0.15">
      <c r="S140" t="str">
        <f t="shared" ca="1" si="4"/>
        <v/>
      </c>
    </row>
    <row r="141" spans="19:19" x14ac:dyDescent="0.15">
      <c r="S141" t="str">
        <f t="shared" ca="1" si="4"/>
        <v/>
      </c>
    </row>
    <row r="142" spans="19:19" x14ac:dyDescent="0.15">
      <c r="S142" t="str">
        <f t="shared" ca="1" si="4"/>
        <v/>
      </c>
    </row>
    <row r="143" spans="19:19" x14ac:dyDescent="0.15">
      <c r="S143" t="str">
        <f t="shared" ca="1" si="4"/>
        <v/>
      </c>
    </row>
    <row r="144" spans="19:19" x14ac:dyDescent="0.15">
      <c r="S144" t="str">
        <f t="shared" ca="1" si="4"/>
        <v/>
      </c>
    </row>
    <row r="145" spans="19:19" x14ac:dyDescent="0.15">
      <c r="S145" t="str">
        <f t="shared" ca="1" si="4"/>
        <v/>
      </c>
    </row>
    <row r="146" spans="19:19" x14ac:dyDescent="0.15">
      <c r="S146" t="str">
        <f t="shared" ca="1" si="4"/>
        <v/>
      </c>
    </row>
    <row r="147" spans="19:19" x14ac:dyDescent="0.15">
      <c r="S147" t="str">
        <f t="shared" ca="1" si="4"/>
        <v/>
      </c>
    </row>
    <row r="148" spans="19:19" x14ac:dyDescent="0.15">
      <c r="S148" t="str">
        <f t="shared" ca="1" si="4"/>
        <v/>
      </c>
    </row>
    <row r="149" spans="19:19" x14ac:dyDescent="0.15">
      <c r="S149" t="str">
        <f t="shared" ca="1" si="4"/>
        <v/>
      </c>
    </row>
    <row r="150" spans="19:19" x14ac:dyDescent="0.15">
      <c r="S150" t="str">
        <f t="shared" ca="1" si="4"/>
        <v/>
      </c>
    </row>
    <row r="151" spans="19:19" x14ac:dyDescent="0.15">
      <c r="S151" t="str">
        <f t="shared" ca="1" si="4"/>
        <v/>
      </c>
    </row>
    <row r="152" spans="19:19" x14ac:dyDescent="0.15">
      <c r="S152" t="str">
        <f t="shared" ca="1" si="4"/>
        <v/>
      </c>
    </row>
    <row r="153" spans="19:19" x14ac:dyDescent="0.15">
      <c r="S153" t="str">
        <f t="shared" ca="1" si="4"/>
        <v/>
      </c>
    </row>
    <row r="154" spans="19:19" x14ac:dyDescent="0.15">
      <c r="S154" t="str">
        <f t="shared" ca="1" si="4"/>
        <v/>
      </c>
    </row>
    <row r="155" spans="19:19" x14ac:dyDescent="0.15">
      <c r="S155" t="str">
        <f t="shared" ca="1" si="4"/>
        <v/>
      </c>
    </row>
    <row r="156" spans="19:19" x14ac:dyDescent="0.15">
      <c r="S156" t="str">
        <f t="shared" ca="1" si="4"/>
        <v/>
      </c>
    </row>
    <row r="157" spans="19:19" x14ac:dyDescent="0.15">
      <c r="S157" t="str">
        <f t="shared" ca="1" si="4"/>
        <v/>
      </c>
    </row>
    <row r="158" spans="19:19" x14ac:dyDescent="0.15">
      <c r="S158" t="str">
        <f t="shared" ca="1" si="4"/>
        <v/>
      </c>
    </row>
    <row r="159" spans="19:19" x14ac:dyDescent="0.15">
      <c r="S159" t="str">
        <f t="shared" ca="1" si="4"/>
        <v/>
      </c>
    </row>
    <row r="160" spans="19:19" x14ac:dyDescent="0.15">
      <c r="S160" t="str">
        <f t="shared" ca="1" si="4"/>
        <v/>
      </c>
    </row>
    <row r="161" spans="19:19" x14ac:dyDescent="0.15">
      <c r="S161" t="str">
        <f t="shared" ca="1" si="4"/>
        <v/>
      </c>
    </row>
    <row r="162" spans="19:19" x14ac:dyDescent="0.15">
      <c r="S162" t="str">
        <f t="shared" ca="1" si="4"/>
        <v/>
      </c>
    </row>
    <row r="163" spans="19:19" x14ac:dyDescent="0.15">
      <c r="S163" t="str">
        <f t="shared" ca="1" si="4"/>
        <v/>
      </c>
    </row>
    <row r="164" spans="19:19" x14ac:dyDescent="0.15">
      <c r="S164" t="str">
        <f t="shared" ca="1" si="4"/>
        <v/>
      </c>
    </row>
    <row r="165" spans="19:19" x14ac:dyDescent="0.15">
      <c r="S165" t="str">
        <f t="shared" ca="1" si="4"/>
        <v/>
      </c>
    </row>
    <row r="166" spans="19:19" x14ac:dyDescent="0.15">
      <c r="S166" t="str">
        <f t="shared" ca="1" si="4"/>
        <v/>
      </c>
    </row>
    <row r="167" spans="19:19" x14ac:dyDescent="0.15">
      <c r="S167" t="str">
        <f t="shared" ca="1" si="4"/>
        <v/>
      </c>
    </row>
    <row r="168" spans="19:19" x14ac:dyDescent="0.15">
      <c r="S168" t="str">
        <f t="shared" ca="1" si="4"/>
        <v/>
      </c>
    </row>
    <row r="169" spans="19:19" x14ac:dyDescent="0.15">
      <c r="S169" t="str">
        <f t="shared" ca="1" si="4"/>
        <v/>
      </c>
    </row>
    <row r="170" spans="19:19" x14ac:dyDescent="0.15">
      <c r="S170" t="str">
        <f t="shared" ref="S170:S201" ca="1" si="5">IF($R170="","",IF(AND(IF(OR(ISNUMBER(D170),D170="-"),ABS(N(D170)-(IF(ISNUMBER(SEARCH(":",SUBSTITUTE($R170," ",""))),SUM(INDIRECT("D"&amp;LEFT(SUBSTITUTE($R170," ",""),SEARCH(":",SUBSTITUTE($R170," ",""))-1)&amp;":D"&amp;MID(SUBSTITUTE($R170," ",""),SEARCH(":",SUBSTITUTE($R170," ",""))+1,10))),SUMPRODUCT(--ISNUMBER(SEARCH(","&amp;ROW(D$10:D$209)&amp;",",","&amp;SUBSTITUTE($R170," ","")&amp;",")),D$10:D$209)-SUMPRODUCT(--ISNUMBER(SEARCH(",-"&amp;ROW(D$10:D$209)&amp;",",","&amp;SUBSTITUTE($R170," ","")&amp;",")),D$10:D$209))))&lt;=1,TRUE()),IF(OR(ISNUMBER(E170),E170="-"),ABS(N(E170)-(IF(ISNUMBER(SEARCH(":",SUBSTITUTE($R170," ",""))),SUM(INDIRECT("E"&amp;LEFT(SUBSTITUTE($R170," ",""),SEARCH(":",SUBSTITUTE($R170," ",""))-1)&amp;":E"&amp;MID(SUBSTITUTE($R170," ",""),SEARCH(":",SUBSTITUTE($R170," ",""))+1,10))),SUMPRODUCT(--ISNUMBER(SEARCH(","&amp;ROW(E$10:E$209)&amp;",",","&amp;SUBSTITUTE($R170," ","")&amp;",")),E$10:E$209)-SUMPRODUCT(--ISNUMBER(SEARCH(",-"&amp;ROW(E$10:E$209)&amp;",",","&amp;SUBSTITUTE($R170," ","")&amp;",")),E$10:E$209))))&lt;=1,TRUE())),"✓","✗"))</f>
        <v/>
      </c>
    </row>
    <row r="171" spans="19:19" x14ac:dyDescent="0.15">
      <c r="S171" t="str">
        <f t="shared" ca="1" si="5"/>
        <v/>
      </c>
    </row>
    <row r="172" spans="19:19" x14ac:dyDescent="0.15">
      <c r="S172" t="str">
        <f t="shared" ca="1" si="5"/>
        <v/>
      </c>
    </row>
    <row r="173" spans="19:19" x14ac:dyDescent="0.15">
      <c r="S173" t="str">
        <f t="shared" ca="1" si="5"/>
        <v/>
      </c>
    </row>
    <row r="174" spans="19:19" x14ac:dyDescent="0.15">
      <c r="S174" t="str">
        <f t="shared" ca="1" si="5"/>
        <v/>
      </c>
    </row>
    <row r="175" spans="19:19" x14ac:dyDescent="0.15">
      <c r="S175" t="str">
        <f t="shared" ca="1" si="5"/>
        <v/>
      </c>
    </row>
    <row r="176" spans="19:19" x14ac:dyDescent="0.15">
      <c r="S176" t="str">
        <f t="shared" ca="1" si="5"/>
        <v/>
      </c>
    </row>
    <row r="177" spans="19:19" x14ac:dyDescent="0.15">
      <c r="S177" t="str">
        <f t="shared" ca="1" si="5"/>
        <v/>
      </c>
    </row>
    <row r="178" spans="19:19" x14ac:dyDescent="0.15">
      <c r="S178" t="str">
        <f t="shared" ca="1" si="5"/>
        <v/>
      </c>
    </row>
    <row r="179" spans="19:19" x14ac:dyDescent="0.15">
      <c r="S179" t="str">
        <f t="shared" ca="1" si="5"/>
        <v/>
      </c>
    </row>
    <row r="180" spans="19:19" x14ac:dyDescent="0.15">
      <c r="S180" t="str">
        <f t="shared" ca="1" si="5"/>
        <v/>
      </c>
    </row>
    <row r="181" spans="19:19" x14ac:dyDescent="0.15">
      <c r="S181" t="str">
        <f t="shared" ca="1" si="5"/>
        <v/>
      </c>
    </row>
    <row r="182" spans="19:19" x14ac:dyDescent="0.15">
      <c r="S182" t="str">
        <f t="shared" ca="1" si="5"/>
        <v/>
      </c>
    </row>
    <row r="183" spans="19:19" x14ac:dyDescent="0.15">
      <c r="S183" t="str">
        <f t="shared" ca="1" si="5"/>
        <v/>
      </c>
    </row>
    <row r="184" spans="19:19" x14ac:dyDescent="0.15">
      <c r="S184" t="str">
        <f t="shared" ca="1" si="5"/>
        <v/>
      </c>
    </row>
    <row r="185" spans="19:19" x14ac:dyDescent="0.15">
      <c r="S185" t="str">
        <f t="shared" ca="1" si="5"/>
        <v/>
      </c>
    </row>
    <row r="186" spans="19:19" x14ac:dyDescent="0.15">
      <c r="S186" t="str">
        <f t="shared" ca="1" si="5"/>
        <v/>
      </c>
    </row>
    <row r="187" spans="19:19" x14ac:dyDescent="0.15">
      <c r="S187" t="str">
        <f t="shared" ca="1" si="5"/>
        <v/>
      </c>
    </row>
    <row r="188" spans="19:19" x14ac:dyDescent="0.15">
      <c r="S188" t="str">
        <f t="shared" ca="1" si="5"/>
        <v/>
      </c>
    </row>
    <row r="189" spans="19:19" x14ac:dyDescent="0.15">
      <c r="S189" t="str">
        <f t="shared" ca="1" si="5"/>
        <v/>
      </c>
    </row>
    <row r="190" spans="19:19" x14ac:dyDescent="0.15">
      <c r="S190" t="str">
        <f t="shared" ca="1" si="5"/>
        <v/>
      </c>
    </row>
    <row r="191" spans="19:19" x14ac:dyDescent="0.15">
      <c r="S191" t="str">
        <f t="shared" ca="1" si="5"/>
        <v/>
      </c>
    </row>
    <row r="192" spans="19:19" x14ac:dyDescent="0.15">
      <c r="S192" t="str">
        <f t="shared" ca="1" si="5"/>
        <v/>
      </c>
    </row>
    <row r="193" spans="19:19" x14ac:dyDescent="0.15">
      <c r="S193" t="str">
        <f t="shared" ca="1" si="5"/>
        <v/>
      </c>
    </row>
    <row r="194" spans="19:19" x14ac:dyDescent="0.15">
      <c r="S194" t="str">
        <f t="shared" ca="1" si="5"/>
        <v/>
      </c>
    </row>
    <row r="195" spans="19:19" x14ac:dyDescent="0.15">
      <c r="S195" t="str">
        <f t="shared" ca="1" si="5"/>
        <v/>
      </c>
    </row>
    <row r="196" spans="19:19" x14ac:dyDescent="0.15">
      <c r="S196" t="str">
        <f t="shared" ca="1" si="5"/>
        <v/>
      </c>
    </row>
    <row r="197" spans="19:19" x14ac:dyDescent="0.15">
      <c r="S197" t="str">
        <f t="shared" ca="1" si="5"/>
        <v/>
      </c>
    </row>
    <row r="198" spans="19:19" x14ac:dyDescent="0.15">
      <c r="S198" t="str">
        <f t="shared" ca="1" si="5"/>
        <v/>
      </c>
    </row>
    <row r="199" spans="19:19" x14ac:dyDescent="0.15">
      <c r="S199" t="str">
        <f t="shared" ca="1" si="5"/>
        <v/>
      </c>
    </row>
    <row r="200" spans="19:19" x14ac:dyDescent="0.15">
      <c r="S200" t="str">
        <f t="shared" ca="1" si="5"/>
        <v/>
      </c>
    </row>
    <row r="201" spans="19:19" x14ac:dyDescent="0.15">
      <c r="S201" t="str">
        <f t="shared" ca="1" si="5"/>
        <v/>
      </c>
    </row>
    <row r="202" spans="19:19" x14ac:dyDescent="0.15">
      <c r="S202" t="str">
        <f t="shared" ref="S202:S209" ca="1" si="6">IF($R202="","",IF(AND(IF(OR(ISNUMBER(D202),D202="-"),ABS(N(D202)-(IF(ISNUMBER(SEARCH(":",SUBSTITUTE($R202," ",""))),SUM(INDIRECT("D"&amp;LEFT(SUBSTITUTE($R202," ",""),SEARCH(":",SUBSTITUTE($R202," ",""))-1)&amp;":D"&amp;MID(SUBSTITUTE($R202," ",""),SEARCH(":",SUBSTITUTE($R202," ",""))+1,10))),SUMPRODUCT(--ISNUMBER(SEARCH(","&amp;ROW(D$10:D$209)&amp;",",","&amp;SUBSTITUTE($R202," ","")&amp;",")),D$10:D$209)-SUMPRODUCT(--ISNUMBER(SEARCH(",-"&amp;ROW(D$10:D$209)&amp;",",","&amp;SUBSTITUTE($R202," ","")&amp;",")),D$10:D$209))))&lt;=1,TRUE()),IF(OR(ISNUMBER(E202),E202="-"),ABS(N(E202)-(IF(ISNUMBER(SEARCH(":",SUBSTITUTE($R202," ",""))),SUM(INDIRECT("E"&amp;LEFT(SUBSTITUTE($R202," ",""),SEARCH(":",SUBSTITUTE($R202," ",""))-1)&amp;":E"&amp;MID(SUBSTITUTE($R202," ",""),SEARCH(":",SUBSTITUTE($R202," ",""))+1,10))),SUMPRODUCT(--ISNUMBER(SEARCH(","&amp;ROW(E$10:E$209)&amp;",",","&amp;SUBSTITUTE($R202," ","")&amp;",")),E$10:E$209)-SUMPRODUCT(--ISNUMBER(SEARCH(",-"&amp;ROW(E$10:E$209)&amp;",",","&amp;SUBSTITUTE($R202," ","")&amp;",")),E$10:E$209))))&lt;=1,TRUE())),"✓","✗"))</f>
        <v/>
      </c>
    </row>
    <row r="203" spans="19:19" x14ac:dyDescent="0.15">
      <c r="S203" t="str">
        <f t="shared" ca="1" si="6"/>
        <v/>
      </c>
    </row>
    <row r="204" spans="19:19" x14ac:dyDescent="0.15">
      <c r="S204" t="str">
        <f t="shared" ca="1" si="6"/>
        <v/>
      </c>
    </row>
    <row r="205" spans="19:19" x14ac:dyDescent="0.15">
      <c r="S205" t="str">
        <f t="shared" ca="1" si="6"/>
        <v/>
      </c>
    </row>
    <row r="206" spans="19:19" x14ac:dyDescent="0.15">
      <c r="S206" t="str">
        <f t="shared" ca="1" si="6"/>
        <v/>
      </c>
    </row>
    <row r="207" spans="19:19" x14ac:dyDescent="0.15">
      <c r="S207" t="str">
        <f t="shared" ca="1" si="6"/>
        <v/>
      </c>
    </row>
    <row r="208" spans="19:19" x14ac:dyDescent="0.15">
      <c r="S208" t="str">
        <f t="shared" ca="1" si="6"/>
        <v/>
      </c>
    </row>
    <row r="209" spans="19:19" x14ac:dyDescent="0.15">
      <c r="S209" t="str">
        <f t="shared" ca="1" si="6"/>
        <v/>
      </c>
    </row>
  </sheetData>
  <conditionalFormatting sqref="S10:S209">
    <cfRule type="cellIs" dxfId="3" priority="2" operator="equal">
      <formula>"✗"</formula>
    </cfRule>
    <cfRule type="cellIs" dxfId="2" priority="3" operator="equal">
      <formula>"✓"</formula>
    </cfRule>
  </conditionalFormatting>
  <dataValidations count="3">
    <dataValidation type="list" sqref="B1" xr:uid="{00000000-0002-0000-0500-000000000000}">
      <formula1>"financial_position,income,comprehensive_income,income_and_comprehensive_income,changes_in_equity,changes_in_net_assets,cash_flows,other"</formula1>
      <formula2>0</formula2>
    </dataValidation>
    <dataValidation type="list" sqref="B5" xr:uid="{00000000-0002-0000-0500-000001000000}">
      <formula1>"1,1000,1000000"</formula1>
      <formula2>0</formula2>
    </dataValidation>
    <dataValidation type="list" allowBlank="1" sqref="A10:A209" xr:uid="{00000000-0002-0000-0500-000002000000}">
      <formula1>"section,item,subtotal,total"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209"/>
  <sheetViews>
    <sheetView zoomScaleNormal="100" workbookViewId="0">
      <pane xSplit="3" ySplit="9" topLeftCell="D10" activePane="bottomRight" state="frozen"/>
      <selection pane="topRight" activeCell="D1" sqref="D1"/>
      <selection pane="bottomLeft" activeCell="A10" sqref="A10"/>
      <selection pane="bottomRight"/>
    </sheetView>
  </sheetViews>
  <sheetFormatPr baseColWidth="10" defaultColWidth="8.6640625" defaultRowHeight="13" x14ac:dyDescent="0.15"/>
  <cols>
    <col min="1" max="1" width="10" customWidth="1"/>
    <col min="2" max="2" width="52" customWidth="1"/>
    <col min="3" max="3" width="9" customWidth="1"/>
    <col min="4" max="17" width="16" customWidth="1"/>
    <col min="18" max="18" width="14" customWidth="1"/>
    <col min="19" max="19" width="7" customWidth="1"/>
    <col min="20" max="20" width="30" customWidth="1"/>
  </cols>
  <sheetData>
    <row r="1" spans="1:20" ht="15" x14ac:dyDescent="0.2">
      <c r="A1" s="5" t="s">
        <v>44</v>
      </c>
      <c r="B1" s="6" t="s">
        <v>254</v>
      </c>
    </row>
    <row r="2" spans="1:20" ht="15" x14ac:dyDescent="0.2">
      <c r="A2" s="5" t="s">
        <v>46</v>
      </c>
      <c r="B2" s="7" t="s">
        <v>255</v>
      </c>
    </row>
    <row r="3" spans="1:20" ht="15" x14ac:dyDescent="0.2">
      <c r="A3" s="5" t="s">
        <v>48</v>
      </c>
      <c r="B3" s="6" t="s">
        <v>102</v>
      </c>
      <c r="C3" t="s">
        <v>50</v>
      </c>
    </row>
    <row r="4" spans="1:20" ht="15" x14ac:dyDescent="0.2">
      <c r="A4" s="5" t="s">
        <v>51</v>
      </c>
      <c r="B4" s="6" t="s">
        <v>52</v>
      </c>
    </row>
    <row r="5" spans="1:20" ht="15" x14ac:dyDescent="0.2">
      <c r="A5" s="5" t="s">
        <v>53</v>
      </c>
      <c r="B5" s="6">
        <v>1</v>
      </c>
      <c r="C5" t="s">
        <v>54</v>
      </c>
    </row>
    <row r="7" spans="1:20" ht="15" customHeight="1" x14ac:dyDescent="0.15">
      <c r="A7" s="8" t="s">
        <v>55</v>
      </c>
      <c r="B7" s="8" t="s">
        <v>56</v>
      </c>
      <c r="C7" s="8" t="s">
        <v>57</v>
      </c>
      <c r="D7" s="8" t="s">
        <v>58</v>
      </c>
      <c r="E7" s="8" t="s">
        <v>59</v>
      </c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 t="s">
        <v>60</v>
      </c>
      <c r="S7" s="8" t="s">
        <v>61</v>
      </c>
      <c r="T7" s="8" t="s">
        <v>43</v>
      </c>
    </row>
    <row r="8" spans="1:20" ht="15" customHeight="1" x14ac:dyDescent="0.2">
      <c r="C8" t="s">
        <v>62</v>
      </c>
      <c r="D8" s="6" t="s">
        <v>28</v>
      </c>
      <c r="E8" s="6" t="s">
        <v>63</v>
      </c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</row>
    <row r="9" spans="1:20" ht="15" customHeight="1" x14ac:dyDescent="0.2">
      <c r="C9" t="s">
        <v>64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</row>
    <row r="10" spans="1:20" ht="15" customHeight="1" x14ac:dyDescent="0.2">
      <c r="A10" t="s">
        <v>65</v>
      </c>
      <c r="B10" s="9" t="s">
        <v>256</v>
      </c>
      <c r="C10" t="s">
        <v>102</v>
      </c>
      <c r="D10" s="10">
        <v>-62720925</v>
      </c>
      <c r="E10" s="10">
        <v>-27365779</v>
      </c>
      <c r="S10" t="str">
        <f t="shared" ref="S10:S41" ca="1" si="0">IF($R10="","",IF(AND(IF(OR(ISNUMBER(D10),D10="-"),ABS(N(D10)-(IF(ISNUMBER(SEARCH(":",SUBSTITUTE($R10," ",""))),SUM(INDIRECT("D"&amp;LEFT(SUBSTITUTE($R10," ",""),SEARCH(":",SUBSTITUTE($R10," ",""))-1)&amp;":D"&amp;MID(SUBSTITUTE($R10," ",""),SEARCH(":",SUBSTITUTE($R10," ",""))+1,10))),SUMPRODUCT(--ISNUMBER(SEARCH(","&amp;ROW(D$10:D$209)&amp;",",","&amp;SUBSTITUTE($R10," ","")&amp;",")),D$10:D$209)-SUMPRODUCT(--ISNUMBER(SEARCH(",-"&amp;ROW(D$10:D$209)&amp;",",","&amp;SUBSTITUTE($R10," ","")&amp;",")),D$10:D$209))))&lt;=1,TRUE()),IF(OR(ISNUMBER(E10),E10="-"),ABS(N(E10)-(IF(ISNUMBER(SEARCH(":",SUBSTITUTE($R10," ",""))),SUM(INDIRECT("E"&amp;LEFT(SUBSTITUTE($R10," ",""),SEARCH(":",SUBSTITUTE($R10," ",""))-1)&amp;":E"&amp;MID(SUBSTITUTE($R10," ",""),SEARCH(":",SUBSTITUTE($R10," ",""))+1,10))),SUMPRODUCT(--ISNUMBER(SEARCH(","&amp;ROW(E$10:E$209)&amp;",",","&amp;SUBSTITUTE($R10," ","")&amp;",")),E$10:E$209)-SUMPRODUCT(--ISNUMBER(SEARCH(",-"&amp;ROW(E$10:E$209)&amp;",",","&amp;SUBSTITUTE($R10," ","")&amp;",")),E$10:E$209))))&lt;=1,TRUE())),"✓","✗"))</f>
        <v/>
      </c>
    </row>
    <row r="11" spans="1:20" ht="15" customHeight="1" x14ac:dyDescent="0.2">
      <c r="A11" t="s">
        <v>65</v>
      </c>
      <c r="B11" s="9" t="s">
        <v>257</v>
      </c>
      <c r="D11" s="10" t="s">
        <v>80</v>
      </c>
      <c r="E11" s="10">
        <v>45925272</v>
      </c>
      <c r="S11" t="str">
        <f t="shared" ca="1" si="0"/>
        <v/>
      </c>
    </row>
    <row r="12" spans="1:20" ht="15" customHeight="1" x14ac:dyDescent="0.2">
      <c r="A12" t="s">
        <v>65</v>
      </c>
      <c r="B12" s="9" t="s">
        <v>258</v>
      </c>
      <c r="D12" s="10" t="s">
        <v>80</v>
      </c>
      <c r="E12" s="10">
        <v>1869011</v>
      </c>
      <c r="S12" t="str">
        <f t="shared" ca="1" si="0"/>
        <v/>
      </c>
    </row>
    <row r="13" spans="1:20" ht="15" customHeight="1" x14ac:dyDescent="0.2">
      <c r="A13" t="s">
        <v>65</v>
      </c>
      <c r="B13" s="9" t="s">
        <v>259</v>
      </c>
      <c r="C13" t="s">
        <v>79</v>
      </c>
      <c r="D13" s="10" t="s">
        <v>80</v>
      </c>
      <c r="E13" s="10">
        <v>419018</v>
      </c>
      <c r="S13" t="str">
        <f t="shared" ca="1" si="0"/>
        <v/>
      </c>
    </row>
    <row r="14" spans="1:20" ht="15" customHeight="1" x14ac:dyDescent="0.2">
      <c r="A14" t="s">
        <v>65</v>
      </c>
      <c r="B14" s="9" t="s">
        <v>260</v>
      </c>
      <c r="C14" t="s">
        <v>102</v>
      </c>
      <c r="D14" s="10">
        <v>812800</v>
      </c>
      <c r="E14" s="10">
        <v>-1458500</v>
      </c>
      <c r="S14" t="str">
        <f t="shared" ca="1" si="0"/>
        <v/>
      </c>
    </row>
    <row r="15" spans="1:20" ht="15" customHeight="1" x14ac:dyDescent="0.2">
      <c r="A15" t="s">
        <v>65</v>
      </c>
      <c r="B15" s="9" t="s">
        <v>261</v>
      </c>
      <c r="C15" t="s">
        <v>123</v>
      </c>
      <c r="D15" s="10">
        <v>211721</v>
      </c>
      <c r="E15" s="10" t="s">
        <v>80</v>
      </c>
      <c r="S15" t="str">
        <f t="shared" ca="1" si="0"/>
        <v/>
      </c>
    </row>
    <row r="16" spans="1:20" ht="15" customHeight="1" x14ac:dyDescent="0.2">
      <c r="A16" t="s">
        <v>65</v>
      </c>
      <c r="B16" s="9" t="s">
        <v>262</v>
      </c>
      <c r="C16" t="s">
        <v>79</v>
      </c>
      <c r="D16" s="10">
        <v>7461378</v>
      </c>
      <c r="E16" s="10">
        <v>17701899</v>
      </c>
      <c r="S16" t="str">
        <f t="shared" ca="1" si="0"/>
        <v/>
      </c>
    </row>
    <row r="17" spans="19:19" x14ac:dyDescent="0.15">
      <c r="S17" t="str">
        <f t="shared" ca="1" si="0"/>
        <v/>
      </c>
    </row>
    <row r="18" spans="19:19" x14ac:dyDescent="0.15">
      <c r="S18" t="str">
        <f t="shared" ca="1" si="0"/>
        <v/>
      </c>
    </row>
    <row r="19" spans="19:19" x14ac:dyDescent="0.15">
      <c r="S19" t="str">
        <f t="shared" ca="1" si="0"/>
        <v/>
      </c>
    </row>
    <row r="20" spans="19:19" x14ac:dyDescent="0.15">
      <c r="S20" t="str">
        <f t="shared" ca="1" si="0"/>
        <v/>
      </c>
    </row>
    <row r="21" spans="19:19" x14ac:dyDescent="0.15">
      <c r="S21" t="str">
        <f t="shared" ca="1" si="0"/>
        <v/>
      </c>
    </row>
    <row r="22" spans="19:19" x14ac:dyDescent="0.15">
      <c r="S22" t="str">
        <f t="shared" ca="1" si="0"/>
        <v/>
      </c>
    </row>
    <row r="23" spans="19:19" x14ac:dyDescent="0.15">
      <c r="S23" t="str">
        <f t="shared" ca="1" si="0"/>
        <v/>
      </c>
    </row>
    <row r="24" spans="19:19" x14ac:dyDescent="0.15">
      <c r="S24" t="str">
        <f t="shared" ca="1" si="0"/>
        <v/>
      </c>
    </row>
    <row r="25" spans="19:19" x14ac:dyDescent="0.15">
      <c r="S25" t="str">
        <f t="shared" ca="1" si="0"/>
        <v/>
      </c>
    </row>
    <row r="26" spans="19:19" x14ac:dyDescent="0.15">
      <c r="S26" t="str">
        <f t="shared" ca="1" si="0"/>
        <v/>
      </c>
    </row>
    <row r="27" spans="19:19" x14ac:dyDescent="0.15">
      <c r="S27" t="str">
        <f t="shared" ca="1" si="0"/>
        <v/>
      </c>
    </row>
    <row r="28" spans="19:19" x14ac:dyDescent="0.15">
      <c r="S28" t="str">
        <f t="shared" ca="1" si="0"/>
        <v/>
      </c>
    </row>
    <row r="29" spans="19:19" x14ac:dyDescent="0.15">
      <c r="S29" t="str">
        <f t="shared" ca="1" si="0"/>
        <v/>
      </c>
    </row>
    <row r="30" spans="19:19" x14ac:dyDescent="0.15">
      <c r="S30" t="str">
        <f t="shared" ca="1" si="0"/>
        <v/>
      </c>
    </row>
    <row r="31" spans="19:19" x14ac:dyDescent="0.15">
      <c r="S31" t="str">
        <f t="shared" ca="1" si="0"/>
        <v/>
      </c>
    </row>
    <row r="32" spans="19:19" x14ac:dyDescent="0.15">
      <c r="S32" t="str">
        <f t="shared" ca="1" si="0"/>
        <v/>
      </c>
    </row>
    <row r="33" spans="19:19" x14ac:dyDescent="0.15">
      <c r="S33" t="str">
        <f t="shared" ca="1" si="0"/>
        <v/>
      </c>
    </row>
    <row r="34" spans="19:19" x14ac:dyDescent="0.15">
      <c r="S34" t="str">
        <f t="shared" ca="1" si="0"/>
        <v/>
      </c>
    </row>
    <row r="35" spans="19:19" x14ac:dyDescent="0.15">
      <c r="S35" t="str">
        <f t="shared" ca="1" si="0"/>
        <v/>
      </c>
    </row>
    <row r="36" spans="19:19" x14ac:dyDescent="0.15">
      <c r="S36" t="str">
        <f t="shared" ca="1" si="0"/>
        <v/>
      </c>
    </row>
    <row r="37" spans="19:19" x14ac:dyDescent="0.15">
      <c r="S37" t="str">
        <f t="shared" ca="1" si="0"/>
        <v/>
      </c>
    </row>
    <row r="38" spans="19:19" x14ac:dyDescent="0.15">
      <c r="S38" t="str">
        <f t="shared" ca="1" si="0"/>
        <v/>
      </c>
    </row>
    <row r="39" spans="19:19" x14ac:dyDescent="0.15">
      <c r="S39" t="str">
        <f t="shared" ca="1" si="0"/>
        <v/>
      </c>
    </row>
    <row r="40" spans="19:19" x14ac:dyDescent="0.15">
      <c r="S40" t="str">
        <f t="shared" ca="1" si="0"/>
        <v/>
      </c>
    </row>
    <row r="41" spans="19:19" x14ac:dyDescent="0.15">
      <c r="S41" t="str">
        <f t="shared" ca="1" si="0"/>
        <v/>
      </c>
    </row>
    <row r="42" spans="19:19" x14ac:dyDescent="0.15">
      <c r="S42" t="str">
        <f t="shared" ref="S42:S73" ca="1" si="1">IF($R42="","",IF(AND(IF(OR(ISNUMBER(D42),D42="-"),ABS(N(D42)-(IF(ISNUMBER(SEARCH(":",SUBSTITUTE($R42," ",""))),SUM(INDIRECT("D"&amp;LEFT(SUBSTITUTE($R42," ",""),SEARCH(":",SUBSTITUTE($R42," ",""))-1)&amp;":D"&amp;MID(SUBSTITUTE($R42," ",""),SEARCH(":",SUBSTITUTE($R42," ",""))+1,10))),SUMPRODUCT(--ISNUMBER(SEARCH(","&amp;ROW(D$10:D$209)&amp;",",","&amp;SUBSTITUTE($R42," ","")&amp;",")),D$10:D$209)-SUMPRODUCT(--ISNUMBER(SEARCH(",-"&amp;ROW(D$10:D$209)&amp;",",","&amp;SUBSTITUTE($R42," ","")&amp;",")),D$10:D$209))))&lt;=1,TRUE()),IF(OR(ISNUMBER(E42),E42="-"),ABS(N(E42)-(IF(ISNUMBER(SEARCH(":",SUBSTITUTE($R42," ",""))),SUM(INDIRECT("E"&amp;LEFT(SUBSTITUTE($R42," ",""),SEARCH(":",SUBSTITUTE($R42," ",""))-1)&amp;":E"&amp;MID(SUBSTITUTE($R42," ",""),SEARCH(":",SUBSTITUTE($R42," ",""))+1,10))),SUMPRODUCT(--ISNUMBER(SEARCH(","&amp;ROW(E$10:E$209)&amp;",",","&amp;SUBSTITUTE($R42," ","")&amp;",")),E$10:E$209)-SUMPRODUCT(--ISNUMBER(SEARCH(",-"&amp;ROW(E$10:E$209)&amp;",",","&amp;SUBSTITUTE($R42," ","")&amp;",")),E$10:E$209))))&lt;=1,TRUE())),"✓","✗"))</f>
        <v/>
      </c>
    </row>
    <row r="43" spans="19:19" x14ac:dyDescent="0.15">
      <c r="S43" t="str">
        <f t="shared" ca="1" si="1"/>
        <v/>
      </c>
    </row>
    <row r="44" spans="19:19" x14ac:dyDescent="0.15">
      <c r="S44" t="str">
        <f t="shared" ca="1" si="1"/>
        <v/>
      </c>
    </row>
    <row r="45" spans="19:19" x14ac:dyDescent="0.15">
      <c r="S45" t="str">
        <f t="shared" ca="1" si="1"/>
        <v/>
      </c>
    </row>
    <row r="46" spans="19:19" x14ac:dyDescent="0.15">
      <c r="S46" t="str">
        <f t="shared" ca="1" si="1"/>
        <v/>
      </c>
    </row>
    <row r="47" spans="19:19" x14ac:dyDescent="0.15">
      <c r="S47" t="str">
        <f t="shared" ca="1" si="1"/>
        <v/>
      </c>
    </row>
    <row r="48" spans="19:19" x14ac:dyDescent="0.15">
      <c r="S48" t="str">
        <f t="shared" ca="1" si="1"/>
        <v/>
      </c>
    </row>
    <row r="49" spans="19:19" x14ac:dyDescent="0.15">
      <c r="S49" t="str">
        <f t="shared" ca="1" si="1"/>
        <v/>
      </c>
    </row>
    <row r="50" spans="19:19" x14ac:dyDescent="0.15">
      <c r="S50" t="str">
        <f t="shared" ca="1" si="1"/>
        <v/>
      </c>
    </row>
    <row r="51" spans="19:19" x14ac:dyDescent="0.15">
      <c r="S51" t="str">
        <f t="shared" ca="1" si="1"/>
        <v/>
      </c>
    </row>
    <row r="52" spans="19:19" x14ac:dyDescent="0.15">
      <c r="S52" t="str">
        <f t="shared" ca="1" si="1"/>
        <v/>
      </c>
    </row>
    <row r="53" spans="19:19" x14ac:dyDescent="0.15">
      <c r="S53" t="str">
        <f t="shared" ca="1" si="1"/>
        <v/>
      </c>
    </row>
    <row r="54" spans="19:19" x14ac:dyDescent="0.15">
      <c r="S54" t="str">
        <f t="shared" ca="1" si="1"/>
        <v/>
      </c>
    </row>
    <row r="55" spans="19:19" x14ac:dyDescent="0.15">
      <c r="S55" t="str">
        <f t="shared" ca="1" si="1"/>
        <v/>
      </c>
    </row>
    <row r="56" spans="19:19" x14ac:dyDescent="0.15">
      <c r="S56" t="str">
        <f t="shared" ca="1" si="1"/>
        <v/>
      </c>
    </row>
    <row r="57" spans="19:19" x14ac:dyDescent="0.15">
      <c r="S57" t="str">
        <f t="shared" ca="1" si="1"/>
        <v/>
      </c>
    </row>
    <row r="58" spans="19:19" x14ac:dyDescent="0.15">
      <c r="S58" t="str">
        <f t="shared" ca="1" si="1"/>
        <v/>
      </c>
    </row>
    <row r="59" spans="19:19" x14ac:dyDescent="0.15">
      <c r="S59" t="str">
        <f t="shared" ca="1" si="1"/>
        <v/>
      </c>
    </row>
    <row r="60" spans="19:19" x14ac:dyDescent="0.15">
      <c r="S60" t="str">
        <f t="shared" ca="1" si="1"/>
        <v/>
      </c>
    </row>
    <row r="61" spans="19:19" x14ac:dyDescent="0.15">
      <c r="S61" t="str">
        <f t="shared" ca="1" si="1"/>
        <v/>
      </c>
    </row>
    <row r="62" spans="19:19" x14ac:dyDescent="0.15">
      <c r="S62" t="str">
        <f t="shared" ca="1" si="1"/>
        <v/>
      </c>
    </row>
    <row r="63" spans="19:19" x14ac:dyDescent="0.15">
      <c r="S63" t="str">
        <f t="shared" ca="1" si="1"/>
        <v/>
      </c>
    </row>
    <row r="64" spans="19:19" x14ac:dyDescent="0.15">
      <c r="S64" t="str">
        <f t="shared" ca="1" si="1"/>
        <v/>
      </c>
    </row>
    <row r="65" spans="19:19" x14ac:dyDescent="0.15">
      <c r="S65" t="str">
        <f t="shared" ca="1" si="1"/>
        <v/>
      </c>
    </row>
    <row r="66" spans="19:19" x14ac:dyDescent="0.15">
      <c r="S66" t="str">
        <f t="shared" ca="1" si="1"/>
        <v/>
      </c>
    </row>
    <row r="67" spans="19:19" x14ac:dyDescent="0.15">
      <c r="S67" t="str">
        <f t="shared" ca="1" si="1"/>
        <v/>
      </c>
    </row>
    <row r="68" spans="19:19" x14ac:dyDescent="0.15">
      <c r="S68" t="str">
        <f t="shared" ca="1" si="1"/>
        <v/>
      </c>
    </row>
    <row r="69" spans="19:19" x14ac:dyDescent="0.15">
      <c r="S69" t="str">
        <f t="shared" ca="1" si="1"/>
        <v/>
      </c>
    </row>
    <row r="70" spans="19:19" x14ac:dyDescent="0.15">
      <c r="S70" t="str">
        <f t="shared" ca="1" si="1"/>
        <v/>
      </c>
    </row>
    <row r="71" spans="19:19" x14ac:dyDescent="0.15">
      <c r="S71" t="str">
        <f t="shared" ca="1" si="1"/>
        <v/>
      </c>
    </row>
    <row r="72" spans="19:19" x14ac:dyDescent="0.15">
      <c r="S72" t="str">
        <f t="shared" ca="1" si="1"/>
        <v/>
      </c>
    </row>
    <row r="73" spans="19:19" x14ac:dyDescent="0.15">
      <c r="S73" t="str">
        <f t="shared" ca="1" si="1"/>
        <v/>
      </c>
    </row>
    <row r="74" spans="19:19" x14ac:dyDescent="0.15">
      <c r="S74" t="str">
        <f t="shared" ref="S74:S105" ca="1" si="2">IF($R74="","",IF(AND(IF(OR(ISNUMBER(D74),D74="-"),ABS(N(D74)-(IF(ISNUMBER(SEARCH(":",SUBSTITUTE($R74," ",""))),SUM(INDIRECT("D"&amp;LEFT(SUBSTITUTE($R74," ",""),SEARCH(":",SUBSTITUTE($R74," ",""))-1)&amp;":D"&amp;MID(SUBSTITUTE($R74," ",""),SEARCH(":",SUBSTITUTE($R74," ",""))+1,10))),SUMPRODUCT(--ISNUMBER(SEARCH(","&amp;ROW(D$10:D$209)&amp;",",","&amp;SUBSTITUTE($R74," ","")&amp;",")),D$10:D$209)-SUMPRODUCT(--ISNUMBER(SEARCH(",-"&amp;ROW(D$10:D$209)&amp;",",","&amp;SUBSTITUTE($R74," ","")&amp;",")),D$10:D$209))))&lt;=1,TRUE()),IF(OR(ISNUMBER(E74),E74="-"),ABS(N(E74)-(IF(ISNUMBER(SEARCH(":",SUBSTITUTE($R74," ",""))),SUM(INDIRECT("E"&amp;LEFT(SUBSTITUTE($R74," ",""),SEARCH(":",SUBSTITUTE($R74," ",""))-1)&amp;":E"&amp;MID(SUBSTITUTE($R74," ",""),SEARCH(":",SUBSTITUTE($R74," ",""))+1,10))),SUMPRODUCT(--ISNUMBER(SEARCH(","&amp;ROW(E$10:E$209)&amp;",",","&amp;SUBSTITUTE($R74," ","")&amp;",")),E$10:E$209)-SUMPRODUCT(--ISNUMBER(SEARCH(",-"&amp;ROW(E$10:E$209)&amp;",",","&amp;SUBSTITUTE($R74," ","")&amp;",")),E$10:E$209))))&lt;=1,TRUE())),"✓","✗"))</f>
        <v/>
      </c>
    </row>
    <row r="75" spans="19:19" x14ac:dyDescent="0.15">
      <c r="S75" t="str">
        <f t="shared" ca="1" si="2"/>
        <v/>
      </c>
    </row>
    <row r="76" spans="19:19" x14ac:dyDescent="0.15">
      <c r="S76" t="str">
        <f t="shared" ca="1" si="2"/>
        <v/>
      </c>
    </row>
    <row r="77" spans="19:19" x14ac:dyDescent="0.15">
      <c r="S77" t="str">
        <f t="shared" ca="1" si="2"/>
        <v/>
      </c>
    </row>
    <row r="78" spans="19:19" x14ac:dyDescent="0.15">
      <c r="S78" t="str">
        <f t="shared" ca="1" si="2"/>
        <v/>
      </c>
    </row>
    <row r="79" spans="19:19" x14ac:dyDescent="0.15">
      <c r="S79" t="str">
        <f t="shared" ca="1" si="2"/>
        <v/>
      </c>
    </row>
    <row r="80" spans="19:19" x14ac:dyDescent="0.15">
      <c r="S80" t="str">
        <f t="shared" ca="1" si="2"/>
        <v/>
      </c>
    </row>
    <row r="81" spans="19:19" x14ac:dyDescent="0.15">
      <c r="S81" t="str">
        <f t="shared" ca="1" si="2"/>
        <v/>
      </c>
    </row>
    <row r="82" spans="19:19" x14ac:dyDescent="0.15">
      <c r="S82" t="str">
        <f t="shared" ca="1" si="2"/>
        <v/>
      </c>
    </row>
    <row r="83" spans="19:19" x14ac:dyDescent="0.15">
      <c r="S83" t="str">
        <f t="shared" ca="1" si="2"/>
        <v/>
      </c>
    </row>
    <row r="84" spans="19:19" x14ac:dyDescent="0.15">
      <c r="S84" t="str">
        <f t="shared" ca="1" si="2"/>
        <v/>
      </c>
    </row>
    <row r="85" spans="19:19" x14ac:dyDescent="0.15">
      <c r="S85" t="str">
        <f t="shared" ca="1" si="2"/>
        <v/>
      </c>
    </row>
    <row r="86" spans="19:19" x14ac:dyDescent="0.15">
      <c r="S86" t="str">
        <f t="shared" ca="1" si="2"/>
        <v/>
      </c>
    </row>
    <row r="87" spans="19:19" x14ac:dyDescent="0.15">
      <c r="S87" t="str">
        <f t="shared" ca="1" si="2"/>
        <v/>
      </c>
    </row>
    <row r="88" spans="19:19" x14ac:dyDescent="0.15">
      <c r="S88" t="str">
        <f t="shared" ca="1" si="2"/>
        <v/>
      </c>
    </row>
    <row r="89" spans="19:19" x14ac:dyDescent="0.15">
      <c r="S89" t="str">
        <f t="shared" ca="1" si="2"/>
        <v/>
      </c>
    </row>
    <row r="90" spans="19:19" x14ac:dyDescent="0.15">
      <c r="S90" t="str">
        <f t="shared" ca="1" si="2"/>
        <v/>
      </c>
    </row>
    <row r="91" spans="19:19" x14ac:dyDescent="0.15">
      <c r="S91" t="str">
        <f t="shared" ca="1" si="2"/>
        <v/>
      </c>
    </row>
    <row r="92" spans="19:19" x14ac:dyDescent="0.15">
      <c r="S92" t="str">
        <f t="shared" ca="1" si="2"/>
        <v/>
      </c>
    </row>
    <row r="93" spans="19:19" x14ac:dyDescent="0.15">
      <c r="S93" t="str">
        <f t="shared" ca="1" si="2"/>
        <v/>
      </c>
    </row>
    <row r="94" spans="19:19" x14ac:dyDescent="0.15">
      <c r="S94" t="str">
        <f t="shared" ca="1" si="2"/>
        <v/>
      </c>
    </row>
    <row r="95" spans="19:19" x14ac:dyDescent="0.15">
      <c r="S95" t="str">
        <f t="shared" ca="1" si="2"/>
        <v/>
      </c>
    </row>
    <row r="96" spans="19:19" x14ac:dyDescent="0.15">
      <c r="S96" t="str">
        <f t="shared" ca="1" si="2"/>
        <v/>
      </c>
    </row>
    <row r="97" spans="19:19" x14ac:dyDescent="0.15">
      <c r="S97" t="str">
        <f t="shared" ca="1" si="2"/>
        <v/>
      </c>
    </row>
    <row r="98" spans="19:19" x14ac:dyDescent="0.15">
      <c r="S98" t="str">
        <f t="shared" ca="1" si="2"/>
        <v/>
      </c>
    </row>
    <row r="99" spans="19:19" x14ac:dyDescent="0.15">
      <c r="S99" t="str">
        <f t="shared" ca="1" si="2"/>
        <v/>
      </c>
    </row>
    <row r="100" spans="19:19" x14ac:dyDescent="0.15">
      <c r="S100" t="str">
        <f t="shared" ca="1" si="2"/>
        <v/>
      </c>
    </row>
    <row r="101" spans="19:19" x14ac:dyDescent="0.15">
      <c r="S101" t="str">
        <f t="shared" ca="1" si="2"/>
        <v/>
      </c>
    </row>
    <row r="102" spans="19:19" x14ac:dyDescent="0.15">
      <c r="S102" t="str">
        <f t="shared" ca="1" si="2"/>
        <v/>
      </c>
    </row>
    <row r="103" spans="19:19" x14ac:dyDescent="0.15">
      <c r="S103" t="str">
        <f t="shared" ca="1" si="2"/>
        <v/>
      </c>
    </row>
    <row r="104" spans="19:19" x14ac:dyDescent="0.15">
      <c r="S104" t="str">
        <f t="shared" ca="1" si="2"/>
        <v/>
      </c>
    </row>
    <row r="105" spans="19:19" x14ac:dyDescent="0.15">
      <c r="S105" t="str">
        <f t="shared" ca="1" si="2"/>
        <v/>
      </c>
    </row>
    <row r="106" spans="19:19" x14ac:dyDescent="0.15">
      <c r="S106" t="str">
        <f t="shared" ref="S106:S137" ca="1" si="3">IF($R106="","",IF(AND(IF(OR(ISNUMBER(D106),D106="-"),ABS(N(D106)-(IF(ISNUMBER(SEARCH(":",SUBSTITUTE($R106," ",""))),SUM(INDIRECT("D"&amp;LEFT(SUBSTITUTE($R106," ",""),SEARCH(":",SUBSTITUTE($R106," ",""))-1)&amp;":D"&amp;MID(SUBSTITUTE($R106," ",""),SEARCH(":",SUBSTITUTE($R106," ",""))+1,10))),SUMPRODUCT(--ISNUMBER(SEARCH(","&amp;ROW(D$10:D$209)&amp;",",","&amp;SUBSTITUTE($R106," ","")&amp;",")),D$10:D$209)-SUMPRODUCT(--ISNUMBER(SEARCH(",-"&amp;ROW(D$10:D$209)&amp;",",","&amp;SUBSTITUTE($R106," ","")&amp;",")),D$10:D$209))))&lt;=1,TRUE()),IF(OR(ISNUMBER(E106),E106="-"),ABS(N(E106)-(IF(ISNUMBER(SEARCH(":",SUBSTITUTE($R106," ",""))),SUM(INDIRECT("E"&amp;LEFT(SUBSTITUTE($R106," ",""),SEARCH(":",SUBSTITUTE($R106," ",""))-1)&amp;":E"&amp;MID(SUBSTITUTE($R106," ",""),SEARCH(":",SUBSTITUTE($R106," ",""))+1,10))),SUMPRODUCT(--ISNUMBER(SEARCH(","&amp;ROW(E$10:E$209)&amp;",",","&amp;SUBSTITUTE($R106," ","")&amp;",")),E$10:E$209)-SUMPRODUCT(--ISNUMBER(SEARCH(",-"&amp;ROW(E$10:E$209)&amp;",",","&amp;SUBSTITUTE($R106," ","")&amp;",")),E$10:E$209))))&lt;=1,TRUE())),"✓","✗"))</f>
        <v/>
      </c>
    </row>
    <row r="107" spans="19:19" x14ac:dyDescent="0.15">
      <c r="S107" t="str">
        <f t="shared" ca="1" si="3"/>
        <v/>
      </c>
    </row>
    <row r="108" spans="19:19" x14ac:dyDescent="0.15">
      <c r="S108" t="str">
        <f t="shared" ca="1" si="3"/>
        <v/>
      </c>
    </row>
    <row r="109" spans="19:19" x14ac:dyDescent="0.15">
      <c r="S109" t="str">
        <f t="shared" ca="1" si="3"/>
        <v/>
      </c>
    </row>
    <row r="110" spans="19:19" x14ac:dyDescent="0.15">
      <c r="S110" t="str">
        <f t="shared" ca="1" si="3"/>
        <v/>
      </c>
    </row>
    <row r="111" spans="19:19" x14ac:dyDescent="0.15">
      <c r="S111" t="str">
        <f t="shared" ca="1" si="3"/>
        <v/>
      </c>
    </row>
    <row r="112" spans="19:19" x14ac:dyDescent="0.15">
      <c r="S112" t="str">
        <f t="shared" ca="1" si="3"/>
        <v/>
      </c>
    </row>
    <row r="113" spans="19:19" x14ac:dyDescent="0.15">
      <c r="S113" t="str">
        <f t="shared" ca="1" si="3"/>
        <v/>
      </c>
    </row>
    <row r="114" spans="19:19" x14ac:dyDescent="0.15">
      <c r="S114" t="str">
        <f t="shared" ca="1" si="3"/>
        <v/>
      </c>
    </row>
    <row r="115" spans="19:19" x14ac:dyDescent="0.15">
      <c r="S115" t="str">
        <f t="shared" ca="1" si="3"/>
        <v/>
      </c>
    </row>
    <row r="116" spans="19:19" x14ac:dyDescent="0.15">
      <c r="S116" t="str">
        <f t="shared" ca="1" si="3"/>
        <v/>
      </c>
    </row>
    <row r="117" spans="19:19" x14ac:dyDescent="0.15">
      <c r="S117" t="str">
        <f t="shared" ca="1" si="3"/>
        <v/>
      </c>
    </row>
    <row r="118" spans="19:19" x14ac:dyDescent="0.15">
      <c r="S118" t="str">
        <f t="shared" ca="1" si="3"/>
        <v/>
      </c>
    </row>
    <row r="119" spans="19:19" x14ac:dyDescent="0.15">
      <c r="S119" t="str">
        <f t="shared" ca="1" si="3"/>
        <v/>
      </c>
    </row>
    <row r="120" spans="19:19" x14ac:dyDescent="0.15">
      <c r="S120" t="str">
        <f t="shared" ca="1" si="3"/>
        <v/>
      </c>
    </row>
    <row r="121" spans="19:19" x14ac:dyDescent="0.15">
      <c r="S121" t="str">
        <f t="shared" ca="1" si="3"/>
        <v/>
      </c>
    </row>
    <row r="122" spans="19:19" x14ac:dyDescent="0.15">
      <c r="S122" t="str">
        <f t="shared" ca="1" si="3"/>
        <v/>
      </c>
    </row>
    <row r="123" spans="19:19" x14ac:dyDescent="0.15">
      <c r="S123" t="str">
        <f t="shared" ca="1" si="3"/>
        <v/>
      </c>
    </row>
    <row r="124" spans="19:19" x14ac:dyDescent="0.15">
      <c r="S124" t="str">
        <f t="shared" ca="1" si="3"/>
        <v/>
      </c>
    </row>
    <row r="125" spans="19:19" x14ac:dyDescent="0.15">
      <c r="S125" t="str">
        <f t="shared" ca="1" si="3"/>
        <v/>
      </c>
    </row>
    <row r="126" spans="19:19" x14ac:dyDescent="0.15">
      <c r="S126" t="str">
        <f t="shared" ca="1" si="3"/>
        <v/>
      </c>
    </row>
    <row r="127" spans="19:19" x14ac:dyDescent="0.15">
      <c r="S127" t="str">
        <f t="shared" ca="1" si="3"/>
        <v/>
      </c>
    </row>
    <row r="128" spans="19:19" x14ac:dyDescent="0.15">
      <c r="S128" t="str">
        <f t="shared" ca="1" si="3"/>
        <v/>
      </c>
    </row>
    <row r="129" spans="19:19" x14ac:dyDescent="0.15">
      <c r="S129" t="str">
        <f t="shared" ca="1" si="3"/>
        <v/>
      </c>
    </row>
    <row r="130" spans="19:19" x14ac:dyDescent="0.15">
      <c r="S130" t="str">
        <f t="shared" ca="1" si="3"/>
        <v/>
      </c>
    </row>
    <row r="131" spans="19:19" x14ac:dyDescent="0.15">
      <c r="S131" t="str">
        <f t="shared" ca="1" si="3"/>
        <v/>
      </c>
    </row>
    <row r="132" spans="19:19" x14ac:dyDescent="0.15">
      <c r="S132" t="str">
        <f t="shared" ca="1" si="3"/>
        <v/>
      </c>
    </row>
    <row r="133" spans="19:19" x14ac:dyDescent="0.15">
      <c r="S133" t="str">
        <f t="shared" ca="1" si="3"/>
        <v/>
      </c>
    </row>
    <row r="134" spans="19:19" x14ac:dyDescent="0.15">
      <c r="S134" t="str">
        <f t="shared" ca="1" si="3"/>
        <v/>
      </c>
    </row>
    <row r="135" spans="19:19" x14ac:dyDescent="0.15">
      <c r="S135" t="str">
        <f t="shared" ca="1" si="3"/>
        <v/>
      </c>
    </row>
    <row r="136" spans="19:19" x14ac:dyDescent="0.15">
      <c r="S136" t="str">
        <f t="shared" ca="1" si="3"/>
        <v/>
      </c>
    </row>
    <row r="137" spans="19:19" x14ac:dyDescent="0.15">
      <c r="S137" t="str">
        <f t="shared" ca="1" si="3"/>
        <v/>
      </c>
    </row>
    <row r="138" spans="19:19" x14ac:dyDescent="0.15">
      <c r="S138" t="str">
        <f t="shared" ref="S138:S169" ca="1" si="4">IF($R138="","",IF(AND(IF(OR(ISNUMBER(D138),D138="-"),ABS(N(D138)-(IF(ISNUMBER(SEARCH(":",SUBSTITUTE($R138," ",""))),SUM(INDIRECT("D"&amp;LEFT(SUBSTITUTE($R138," ",""),SEARCH(":",SUBSTITUTE($R138," ",""))-1)&amp;":D"&amp;MID(SUBSTITUTE($R138," ",""),SEARCH(":",SUBSTITUTE($R138," ",""))+1,10))),SUMPRODUCT(--ISNUMBER(SEARCH(","&amp;ROW(D$10:D$209)&amp;",",","&amp;SUBSTITUTE($R138," ","")&amp;",")),D$10:D$209)-SUMPRODUCT(--ISNUMBER(SEARCH(",-"&amp;ROW(D$10:D$209)&amp;",",","&amp;SUBSTITUTE($R138," ","")&amp;",")),D$10:D$209))))&lt;=1,TRUE()),IF(OR(ISNUMBER(E138),E138="-"),ABS(N(E138)-(IF(ISNUMBER(SEARCH(":",SUBSTITUTE($R138," ",""))),SUM(INDIRECT("E"&amp;LEFT(SUBSTITUTE($R138," ",""),SEARCH(":",SUBSTITUTE($R138," ",""))-1)&amp;":E"&amp;MID(SUBSTITUTE($R138," ",""),SEARCH(":",SUBSTITUTE($R138," ",""))+1,10))),SUMPRODUCT(--ISNUMBER(SEARCH(","&amp;ROW(E$10:E$209)&amp;",",","&amp;SUBSTITUTE($R138," ","")&amp;",")),E$10:E$209)-SUMPRODUCT(--ISNUMBER(SEARCH(",-"&amp;ROW(E$10:E$209)&amp;",",","&amp;SUBSTITUTE($R138," ","")&amp;",")),E$10:E$209))))&lt;=1,TRUE())),"✓","✗"))</f>
        <v/>
      </c>
    </row>
    <row r="139" spans="19:19" x14ac:dyDescent="0.15">
      <c r="S139" t="str">
        <f t="shared" ca="1" si="4"/>
        <v/>
      </c>
    </row>
    <row r="140" spans="19:19" x14ac:dyDescent="0.15">
      <c r="S140" t="str">
        <f t="shared" ca="1" si="4"/>
        <v/>
      </c>
    </row>
    <row r="141" spans="19:19" x14ac:dyDescent="0.15">
      <c r="S141" t="str">
        <f t="shared" ca="1" si="4"/>
        <v/>
      </c>
    </row>
    <row r="142" spans="19:19" x14ac:dyDescent="0.15">
      <c r="S142" t="str">
        <f t="shared" ca="1" si="4"/>
        <v/>
      </c>
    </row>
    <row r="143" spans="19:19" x14ac:dyDescent="0.15">
      <c r="S143" t="str">
        <f t="shared" ca="1" si="4"/>
        <v/>
      </c>
    </row>
    <row r="144" spans="19:19" x14ac:dyDescent="0.15">
      <c r="S144" t="str">
        <f t="shared" ca="1" si="4"/>
        <v/>
      </c>
    </row>
    <row r="145" spans="19:19" x14ac:dyDescent="0.15">
      <c r="S145" t="str">
        <f t="shared" ca="1" si="4"/>
        <v/>
      </c>
    </row>
    <row r="146" spans="19:19" x14ac:dyDescent="0.15">
      <c r="S146" t="str">
        <f t="shared" ca="1" si="4"/>
        <v/>
      </c>
    </row>
    <row r="147" spans="19:19" x14ac:dyDescent="0.15">
      <c r="S147" t="str">
        <f t="shared" ca="1" si="4"/>
        <v/>
      </c>
    </row>
    <row r="148" spans="19:19" x14ac:dyDescent="0.15">
      <c r="S148" t="str">
        <f t="shared" ca="1" si="4"/>
        <v/>
      </c>
    </row>
    <row r="149" spans="19:19" x14ac:dyDescent="0.15">
      <c r="S149" t="str">
        <f t="shared" ca="1" si="4"/>
        <v/>
      </c>
    </row>
    <row r="150" spans="19:19" x14ac:dyDescent="0.15">
      <c r="S150" t="str">
        <f t="shared" ca="1" si="4"/>
        <v/>
      </c>
    </row>
    <row r="151" spans="19:19" x14ac:dyDescent="0.15">
      <c r="S151" t="str">
        <f t="shared" ca="1" si="4"/>
        <v/>
      </c>
    </row>
    <row r="152" spans="19:19" x14ac:dyDescent="0.15">
      <c r="S152" t="str">
        <f t="shared" ca="1" si="4"/>
        <v/>
      </c>
    </row>
    <row r="153" spans="19:19" x14ac:dyDescent="0.15">
      <c r="S153" t="str">
        <f t="shared" ca="1" si="4"/>
        <v/>
      </c>
    </row>
    <row r="154" spans="19:19" x14ac:dyDescent="0.15">
      <c r="S154" t="str">
        <f t="shared" ca="1" si="4"/>
        <v/>
      </c>
    </row>
    <row r="155" spans="19:19" x14ac:dyDescent="0.15">
      <c r="S155" t="str">
        <f t="shared" ca="1" si="4"/>
        <v/>
      </c>
    </row>
    <row r="156" spans="19:19" x14ac:dyDescent="0.15">
      <c r="S156" t="str">
        <f t="shared" ca="1" si="4"/>
        <v/>
      </c>
    </row>
    <row r="157" spans="19:19" x14ac:dyDescent="0.15">
      <c r="S157" t="str">
        <f t="shared" ca="1" si="4"/>
        <v/>
      </c>
    </row>
    <row r="158" spans="19:19" x14ac:dyDescent="0.15">
      <c r="S158" t="str">
        <f t="shared" ca="1" si="4"/>
        <v/>
      </c>
    </row>
    <row r="159" spans="19:19" x14ac:dyDescent="0.15">
      <c r="S159" t="str">
        <f t="shared" ca="1" si="4"/>
        <v/>
      </c>
    </row>
    <row r="160" spans="19:19" x14ac:dyDescent="0.15">
      <c r="S160" t="str">
        <f t="shared" ca="1" si="4"/>
        <v/>
      </c>
    </row>
    <row r="161" spans="19:19" x14ac:dyDescent="0.15">
      <c r="S161" t="str">
        <f t="shared" ca="1" si="4"/>
        <v/>
      </c>
    </row>
    <row r="162" spans="19:19" x14ac:dyDescent="0.15">
      <c r="S162" t="str">
        <f t="shared" ca="1" si="4"/>
        <v/>
      </c>
    </row>
    <row r="163" spans="19:19" x14ac:dyDescent="0.15">
      <c r="S163" t="str">
        <f t="shared" ca="1" si="4"/>
        <v/>
      </c>
    </row>
    <row r="164" spans="19:19" x14ac:dyDescent="0.15">
      <c r="S164" t="str">
        <f t="shared" ca="1" si="4"/>
        <v/>
      </c>
    </row>
    <row r="165" spans="19:19" x14ac:dyDescent="0.15">
      <c r="S165" t="str">
        <f t="shared" ca="1" si="4"/>
        <v/>
      </c>
    </row>
    <row r="166" spans="19:19" x14ac:dyDescent="0.15">
      <c r="S166" t="str">
        <f t="shared" ca="1" si="4"/>
        <v/>
      </c>
    </row>
    <row r="167" spans="19:19" x14ac:dyDescent="0.15">
      <c r="S167" t="str">
        <f t="shared" ca="1" si="4"/>
        <v/>
      </c>
    </row>
    <row r="168" spans="19:19" x14ac:dyDescent="0.15">
      <c r="S168" t="str">
        <f t="shared" ca="1" si="4"/>
        <v/>
      </c>
    </row>
    <row r="169" spans="19:19" x14ac:dyDescent="0.15">
      <c r="S169" t="str">
        <f t="shared" ca="1" si="4"/>
        <v/>
      </c>
    </row>
    <row r="170" spans="19:19" x14ac:dyDescent="0.15">
      <c r="S170" t="str">
        <f t="shared" ref="S170:S201" ca="1" si="5">IF($R170="","",IF(AND(IF(OR(ISNUMBER(D170),D170="-"),ABS(N(D170)-(IF(ISNUMBER(SEARCH(":",SUBSTITUTE($R170," ",""))),SUM(INDIRECT("D"&amp;LEFT(SUBSTITUTE($R170," ",""),SEARCH(":",SUBSTITUTE($R170," ",""))-1)&amp;":D"&amp;MID(SUBSTITUTE($R170," ",""),SEARCH(":",SUBSTITUTE($R170," ",""))+1,10))),SUMPRODUCT(--ISNUMBER(SEARCH(","&amp;ROW(D$10:D$209)&amp;",",","&amp;SUBSTITUTE($R170," ","")&amp;",")),D$10:D$209)-SUMPRODUCT(--ISNUMBER(SEARCH(",-"&amp;ROW(D$10:D$209)&amp;",",","&amp;SUBSTITUTE($R170," ","")&amp;",")),D$10:D$209))))&lt;=1,TRUE()),IF(OR(ISNUMBER(E170),E170="-"),ABS(N(E170)-(IF(ISNUMBER(SEARCH(":",SUBSTITUTE($R170," ",""))),SUM(INDIRECT("E"&amp;LEFT(SUBSTITUTE($R170," ",""),SEARCH(":",SUBSTITUTE($R170," ",""))-1)&amp;":E"&amp;MID(SUBSTITUTE($R170," ",""),SEARCH(":",SUBSTITUTE($R170," ",""))+1,10))),SUMPRODUCT(--ISNUMBER(SEARCH(","&amp;ROW(E$10:E$209)&amp;",",","&amp;SUBSTITUTE($R170," ","")&amp;",")),E$10:E$209)-SUMPRODUCT(--ISNUMBER(SEARCH(",-"&amp;ROW(E$10:E$209)&amp;",",","&amp;SUBSTITUTE($R170," ","")&amp;",")),E$10:E$209))))&lt;=1,TRUE())),"✓","✗"))</f>
        <v/>
      </c>
    </row>
    <row r="171" spans="19:19" x14ac:dyDescent="0.15">
      <c r="S171" t="str">
        <f t="shared" ca="1" si="5"/>
        <v/>
      </c>
    </row>
    <row r="172" spans="19:19" x14ac:dyDescent="0.15">
      <c r="S172" t="str">
        <f t="shared" ca="1" si="5"/>
        <v/>
      </c>
    </row>
    <row r="173" spans="19:19" x14ac:dyDescent="0.15">
      <c r="S173" t="str">
        <f t="shared" ca="1" si="5"/>
        <v/>
      </c>
    </row>
    <row r="174" spans="19:19" x14ac:dyDescent="0.15">
      <c r="S174" t="str">
        <f t="shared" ca="1" si="5"/>
        <v/>
      </c>
    </row>
    <row r="175" spans="19:19" x14ac:dyDescent="0.15">
      <c r="S175" t="str">
        <f t="shared" ca="1" si="5"/>
        <v/>
      </c>
    </row>
    <row r="176" spans="19:19" x14ac:dyDescent="0.15">
      <c r="S176" t="str">
        <f t="shared" ca="1" si="5"/>
        <v/>
      </c>
    </row>
    <row r="177" spans="19:19" x14ac:dyDescent="0.15">
      <c r="S177" t="str">
        <f t="shared" ca="1" si="5"/>
        <v/>
      </c>
    </row>
    <row r="178" spans="19:19" x14ac:dyDescent="0.15">
      <c r="S178" t="str">
        <f t="shared" ca="1" si="5"/>
        <v/>
      </c>
    </row>
    <row r="179" spans="19:19" x14ac:dyDescent="0.15">
      <c r="S179" t="str">
        <f t="shared" ca="1" si="5"/>
        <v/>
      </c>
    </row>
    <row r="180" spans="19:19" x14ac:dyDescent="0.15">
      <c r="S180" t="str">
        <f t="shared" ca="1" si="5"/>
        <v/>
      </c>
    </row>
    <row r="181" spans="19:19" x14ac:dyDescent="0.15">
      <c r="S181" t="str">
        <f t="shared" ca="1" si="5"/>
        <v/>
      </c>
    </row>
    <row r="182" spans="19:19" x14ac:dyDescent="0.15">
      <c r="S182" t="str">
        <f t="shared" ca="1" si="5"/>
        <v/>
      </c>
    </row>
    <row r="183" spans="19:19" x14ac:dyDescent="0.15">
      <c r="S183" t="str">
        <f t="shared" ca="1" si="5"/>
        <v/>
      </c>
    </row>
    <row r="184" spans="19:19" x14ac:dyDescent="0.15">
      <c r="S184" t="str">
        <f t="shared" ca="1" si="5"/>
        <v/>
      </c>
    </row>
    <row r="185" spans="19:19" x14ac:dyDescent="0.15">
      <c r="S185" t="str">
        <f t="shared" ca="1" si="5"/>
        <v/>
      </c>
    </row>
    <row r="186" spans="19:19" x14ac:dyDescent="0.15">
      <c r="S186" t="str">
        <f t="shared" ca="1" si="5"/>
        <v/>
      </c>
    </row>
    <row r="187" spans="19:19" x14ac:dyDescent="0.15">
      <c r="S187" t="str">
        <f t="shared" ca="1" si="5"/>
        <v/>
      </c>
    </row>
    <row r="188" spans="19:19" x14ac:dyDescent="0.15">
      <c r="S188" t="str">
        <f t="shared" ca="1" si="5"/>
        <v/>
      </c>
    </row>
    <row r="189" spans="19:19" x14ac:dyDescent="0.15">
      <c r="S189" t="str">
        <f t="shared" ca="1" si="5"/>
        <v/>
      </c>
    </row>
    <row r="190" spans="19:19" x14ac:dyDescent="0.15">
      <c r="S190" t="str">
        <f t="shared" ca="1" si="5"/>
        <v/>
      </c>
    </row>
    <row r="191" spans="19:19" x14ac:dyDescent="0.15">
      <c r="S191" t="str">
        <f t="shared" ca="1" si="5"/>
        <v/>
      </c>
    </row>
    <row r="192" spans="19:19" x14ac:dyDescent="0.15">
      <c r="S192" t="str">
        <f t="shared" ca="1" si="5"/>
        <v/>
      </c>
    </row>
    <row r="193" spans="19:19" x14ac:dyDescent="0.15">
      <c r="S193" t="str">
        <f t="shared" ca="1" si="5"/>
        <v/>
      </c>
    </row>
    <row r="194" spans="19:19" x14ac:dyDescent="0.15">
      <c r="S194" t="str">
        <f t="shared" ca="1" si="5"/>
        <v/>
      </c>
    </row>
    <row r="195" spans="19:19" x14ac:dyDescent="0.15">
      <c r="S195" t="str">
        <f t="shared" ca="1" si="5"/>
        <v/>
      </c>
    </row>
    <row r="196" spans="19:19" x14ac:dyDescent="0.15">
      <c r="S196" t="str">
        <f t="shared" ca="1" si="5"/>
        <v/>
      </c>
    </row>
    <row r="197" spans="19:19" x14ac:dyDescent="0.15">
      <c r="S197" t="str">
        <f t="shared" ca="1" si="5"/>
        <v/>
      </c>
    </row>
    <row r="198" spans="19:19" x14ac:dyDescent="0.15">
      <c r="S198" t="str">
        <f t="shared" ca="1" si="5"/>
        <v/>
      </c>
    </row>
    <row r="199" spans="19:19" x14ac:dyDescent="0.15">
      <c r="S199" t="str">
        <f t="shared" ca="1" si="5"/>
        <v/>
      </c>
    </row>
    <row r="200" spans="19:19" x14ac:dyDescent="0.15">
      <c r="S200" t="str">
        <f t="shared" ca="1" si="5"/>
        <v/>
      </c>
    </row>
    <row r="201" spans="19:19" x14ac:dyDescent="0.15">
      <c r="S201" t="str">
        <f t="shared" ca="1" si="5"/>
        <v/>
      </c>
    </row>
    <row r="202" spans="19:19" x14ac:dyDescent="0.15">
      <c r="S202" t="str">
        <f t="shared" ref="S202:S209" ca="1" si="6">IF($R202="","",IF(AND(IF(OR(ISNUMBER(D202),D202="-"),ABS(N(D202)-(IF(ISNUMBER(SEARCH(":",SUBSTITUTE($R202," ",""))),SUM(INDIRECT("D"&amp;LEFT(SUBSTITUTE($R202," ",""),SEARCH(":",SUBSTITUTE($R202," ",""))-1)&amp;":D"&amp;MID(SUBSTITUTE($R202," ",""),SEARCH(":",SUBSTITUTE($R202," ",""))+1,10))),SUMPRODUCT(--ISNUMBER(SEARCH(","&amp;ROW(D$10:D$209)&amp;",",","&amp;SUBSTITUTE($R202," ","")&amp;",")),D$10:D$209)-SUMPRODUCT(--ISNUMBER(SEARCH(",-"&amp;ROW(D$10:D$209)&amp;",",","&amp;SUBSTITUTE($R202," ","")&amp;",")),D$10:D$209))))&lt;=1,TRUE()),IF(OR(ISNUMBER(E202),E202="-"),ABS(N(E202)-(IF(ISNUMBER(SEARCH(":",SUBSTITUTE($R202," ",""))),SUM(INDIRECT("E"&amp;LEFT(SUBSTITUTE($R202," ",""),SEARCH(":",SUBSTITUTE($R202," ",""))-1)&amp;":E"&amp;MID(SUBSTITUTE($R202," ",""),SEARCH(":",SUBSTITUTE($R202," ",""))+1,10))),SUMPRODUCT(--ISNUMBER(SEARCH(","&amp;ROW(E$10:E$209)&amp;",",","&amp;SUBSTITUTE($R202," ","")&amp;",")),E$10:E$209)-SUMPRODUCT(--ISNUMBER(SEARCH(",-"&amp;ROW(E$10:E$209)&amp;",",","&amp;SUBSTITUTE($R202," ","")&amp;",")),E$10:E$209))))&lt;=1,TRUE())),"✓","✗"))</f>
        <v/>
      </c>
    </row>
    <row r="203" spans="19:19" x14ac:dyDescent="0.15">
      <c r="S203" t="str">
        <f t="shared" ca="1" si="6"/>
        <v/>
      </c>
    </row>
    <row r="204" spans="19:19" x14ac:dyDescent="0.15">
      <c r="S204" t="str">
        <f t="shared" ca="1" si="6"/>
        <v/>
      </c>
    </row>
    <row r="205" spans="19:19" x14ac:dyDescent="0.15">
      <c r="S205" t="str">
        <f t="shared" ca="1" si="6"/>
        <v/>
      </c>
    </row>
    <row r="206" spans="19:19" x14ac:dyDescent="0.15">
      <c r="S206" t="str">
        <f t="shared" ca="1" si="6"/>
        <v/>
      </c>
    </row>
    <row r="207" spans="19:19" x14ac:dyDescent="0.15">
      <c r="S207" t="str">
        <f t="shared" ca="1" si="6"/>
        <v/>
      </c>
    </row>
    <row r="208" spans="19:19" x14ac:dyDescent="0.15">
      <c r="S208" t="str">
        <f t="shared" ca="1" si="6"/>
        <v/>
      </c>
    </row>
    <row r="209" spans="19:19" x14ac:dyDescent="0.15">
      <c r="S209" t="str">
        <f t="shared" ca="1" si="6"/>
        <v/>
      </c>
    </row>
  </sheetData>
  <conditionalFormatting sqref="S10:S209">
    <cfRule type="cellIs" dxfId="1" priority="2" operator="equal">
      <formula>"✗"</formula>
    </cfRule>
    <cfRule type="cellIs" dxfId="0" priority="3" operator="equal">
      <formula>"✓"</formula>
    </cfRule>
  </conditionalFormatting>
  <dataValidations count="3">
    <dataValidation type="list" sqref="B1" xr:uid="{00000000-0002-0000-0600-000000000000}">
      <formula1>"financial_position,income,comprehensive_income,income_and_comprehensive_income,changes_in_equity,changes_in_net_assets,cash_flows,other"</formula1>
      <formula2>0</formula2>
    </dataValidation>
    <dataValidation type="list" sqref="B5" xr:uid="{00000000-0002-0000-0600-000001000000}">
      <formula1>"1,1000,1000000"</formula1>
      <formula2>0</formula2>
    </dataValidation>
    <dataValidation type="list" allowBlank="1" sqref="A10:A209" xr:uid="{00000000-0002-0000-0600-000002000000}">
      <formula1>"section,item,subtotal,total"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README</vt:lpstr>
      <vt:lpstr>filing</vt:lpstr>
      <vt:lpstr>1_comprehensive_income</vt:lpstr>
      <vt:lpstr>2_financial_position</vt:lpstr>
      <vt:lpstr>3_changes_in_equity</vt:lpstr>
      <vt:lpstr>4_cash_flows</vt:lpstr>
      <vt:lpstr>5_other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Bushra Asseri</cp:lastModifiedBy>
  <cp:revision>0</cp:revision>
  <dcterms:modified xsi:type="dcterms:W3CDTF">2026-10-01T20:41:10Z</dcterms:modified>
  <dc:language>en-US</dc:language>
</cp:coreProperties>
</file>