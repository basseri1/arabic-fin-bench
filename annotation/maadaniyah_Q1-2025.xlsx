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maadaniyah_Q1-2025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Maadaniyah (National Metal Manufacturing &amp; Casting)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https://www.saudiexchange.sa/Resources/fsPdf/402_0_2025-05-13_16-05-03_Ar.pdf</t>
        </is>
      </c>
      <c r="C4" t="inlineStr"/>
    </row>
    <row r="5">
      <c r="A5" t="inlineStr">
        <is>
          <t>sha256</t>
        </is>
      </c>
      <c r="B5" t="inlineStr">
        <is>
          <t>a2aa33bf564678530db1e8277b90bf43d125c2a16816ed4a0927f800778b05c9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2025-03-31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interim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الأولية الموحدة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مارس 2025 (غير مدققة)</t>
        </is>
      </c>
      <c r="E7" s="5" t="inlineStr">
        <is>
          <t>31 ديسمبر 2024 (مدققة)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2025-03-31</t>
        </is>
      </c>
      <c r="E8" s="4" t="inlineStr">
        <is>
          <t>2024-12-31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ومصنع ومعدات</t>
        </is>
      </c>
      <c r="C12" t="inlineStr">
        <is>
          <t>6، 12</t>
        </is>
      </c>
      <c r="D12" t="n">
        <v>160594813</v>
      </c>
      <c r="E12" t="n">
        <v>159111832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موجودات غير ملموسة</t>
        </is>
      </c>
      <c r="C13" t="inlineStr"/>
      <c r="D13" t="n">
        <v>20440991</v>
      </c>
      <c r="E13" t="n">
        <v>20076776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أصول حق الإستخدام</t>
        </is>
      </c>
      <c r="C14" t="inlineStr"/>
      <c r="D14" t="n">
        <v>9032273</v>
      </c>
      <c r="E14" t="n">
        <v>8845244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عقارات إستثمارية</t>
        </is>
      </c>
      <c r="C15" t="inlineStr">
        <is>
          <t>7</t>
        </is>
      </c>
      <c r="D15" t="n">
        <v>1179461</v>
      </c>
      <c r="E15" t="n">
        <v>1229750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أدوات حقوق ملكية محددة بالقيمة العادلة من خلال الدخل الشامل الآخر</t>
        </is>
      </c>
      <c r="C16" t="inlineStr"/>
      <c r="D16" t="n">
        <v>3750000</v>
      </c>
      <c r="E16" t="n">
        <v>3750000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مجموع الموجودات غير المتداولة</t>
        </is>
      </c>
      <c r="C17" t="inlineStr"/>
      <c r="D17" t="n">
        <v>194997538</v>
      </c>
      <c r="E17" t="n">
        <v>193013602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section</t>
        </is>
      </c>
      <c r="B18" t="inlineStr">
        <is>
          <t>الموجودات المتداولة</t>
        </is>
      </c>
      <c r="C18" t="inlineStr"/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مخزون، صافي</t>
        </is>
      </c>
      <c r="C19" t="inlineStr"/>
      <c r="D19" t="n">
        <v>79459444</v>
      </c>
      <c r="E19" t="n">
        <v>86785591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ذمم مدينة تجارية، صافي</t>
        </is>
      </c>
      <c r="C20" t="inlineStr"/>
      <c r="D20" t="n">
        <v>66740159</v>
      </c>
      <c r="E20" t="n">
        <v>61623344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مدفوعات مقدمة وموجودات أخرى</t>
        </is>
      </c>
      <c r="C21" t="inlineStr"/>
      <c r="D21" t="n">
        <v>9005415</v>
      </c>
      <c r="E21" t="n">
        <v>5073966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نقد وما في حكمه</t>
        </is>
      </c>
      <c r="C22" t="inlineStr">
        <is>
          <t>9</t>
        </is>
      </c>
      <c r="D22" t="n">
        <v>24654631</v>
      </c>
      <c r="E22" t="n">
        <v>25587396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موجودات متداولة بإستثناء موجودات مصنفة كمحتفظ بها بغرض البيع</t>
        </is>
      </c>
      <c r="C23" t="inlineStr"/>
      <c r="D23" t="n">
        <v>179859649</v>
      </c>
      <c r="E23" t="n">
        <v>179070297</v>
      </c>
      <c r="R23" t="inlineStr">
        <is>
          <t>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موجودات مصنفة كمحتفظ بها بغرض البيع</t>
        </is>
      </c>
      <c r="C24" t="inlineStr"/>
      <c r="D24" t="n">
        <v>1637867</v>
      </c>
      <c r="E24" t="n">
        <v>2032323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>
        <is>
          <t>مجموع الموجودات المتداولة</t>
        </is>
      </c>
      <c r="C25" t="inlineStr"/>
      <c r="D25" t="n">
        <v>181497516</v>
      </c>
      <c r="E25" t="n">
        <v>181102620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مجموع الموجودات</t>
        </is>
      </c>
      <c r="C26" t="inlineStr"/>
      <c r="D26" t="n">
        <v>376495054</v>
      </c>
      <c r="E26" t="n">
        <v>374116222</v>
      </c>
      <c r="R26" t="inlineStr">
        <is>
          <t>17,25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حقوق الملكية والمطلوبات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حقوق الملكية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رأس المال</t>
        </is>
      </c>
      <c r="C29" t="inlineStr"/>
      <c r="D29" t="n">
        <v>354000000</v>
      </c>
      <c r="E29" t="n">
        <v>354000000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خسائر متراكمة</t>
        </is>
      </c>
      <c r="C30" t="inlineStr"/>
      <c r="D30" t="n">
        <v>-111715814</v>
      </c>
      <c r="E30" t="n">
        <v>-108521913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مجموع حقوق الملكية</t>
        </is>
      </c>
      <c r="C31" t="inlineStr"/>
      <c r="D31" t="n">
        <v>242284186</v>
      </c>
      <c r="E31" t="n">
        <v>245478087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المطلوبات غير المتداولة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إلتزامات مزايا الموظفين</t>
        </is>
      </c>
      <c r="C33" t="inlineStr"/>
      <c r="D33" t="n">
        <v>27929915</v>
      </c>
      <c r="E33" t="n">
        <v>28752142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إلتزامات عقود إيجار – الجزء غير المتداول</t>
        </is>
      </c>
      <c r="C34" t="inlineStr"/>
      <c r="D34" t="n">
        <v>7193171</v>
      </c>
      <c r="E34" t="n">
        <v>7887451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subtotal</t>
        </is>
      </c>
      <c r="B35" t="inlineStr">
        <is>
          <t>مجموع المطلوبات غير المتداولة</t>
        </is>
      </c>
      <c r="C35" t="inlineStr"/>
      <c r="D35" t="n">
        <v>35123086</v>
      </c>
      <c r="E35" t="n">
        <v>36639593</v>
      </c>
      <c r="R35" t="inlineStr">
        <is>
          <t>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section</t>
        </is>
      </c>
      <c r="B36" t="inlineStr">
        <is>
          <t>المطلوبات المتداولة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ذمم دائنة تجارية ودائنون أخرون</t>
        </is>
      </c>
      <c r="C37" t="inlineStr">
        <is>
          <t>11</t>
        </is>
      </c>
      <c r="D37" t="n">
        <v>49280135</v>
      </c>
      <c r="E37" t="n">
        <v>50117187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قروض قصيرة الاجل</t>
        </is>
      </c>
      <c r="C38" t="inlineStr">
        <is>
          <t>10</t>
        </is>
      </c>
      <c r="D38" t="n">
        <v>23987839</v>
      </c>
      <c r="E38" t="n">
        <v>14873144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مصاريف مستحقة ومطلوبات أخرى</t>
        </is>
      </c>
      <c r="C39" t="inlineStr"/>
      <c r="D39" t="n">
        <v>16543361</v>
      </c>
      <c r="E39" t="n">
        <v>18929584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إلتزامات عقود إيجار - الجزء المتداول</t>
        </is>
      </c>
      <c r="C40" t="inlineStr"/>
      <c r="D40" t="n">
        <v>1426447</v>
      </c>
      <c r="E40" t="n">
        <v>956258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قروض طويلة الاجل - الجزء المتداول</t>
        </is>
      </c>
      <c r="C41" t="inlineStr">
        <is>
          <t>10</t>
        </is>
      </c>
      <c r="D41" t="n">
        <v>4550000</v>
      </c>
      <c r="E41" t="n">
        <v>4522369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مخصص الزكاة</t>
        </is>
      </c>
      <c r="C42" t="inlineStr"/>
      <c r="D42" t="n">
        <v>3300000</v>
      </c>
      <c r="E42" t="n">
        <v>2600000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subtotal</t>
        </is>
      </c>
      <c r="B43" t="inlineStr">
        <is>
          <t>مجموع المطلوبات المتداولة</t>
        </is>
      </c>
      <c r="C43" t="inlineStr"/>
      <c r="D43" t="n">
        <v>99087782</v>
      </c>
      <c r="E43" t="n">
        <v>91998542</v>
      </c>
      <c r="R43" t="inlineStr">
        <is>
          <t>37,38,39,40,41,42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مجموع المطلوبات</t>
        </is>
      </c>
      <c r="C44" t="inlineStr"/>
      <c r="D44" t="n">
        <v>134210868</v>
      </c>
      <c r="E44" t="n">
        <v>128638135</v>
      </c>
      <c r="R44" t="inlineStr">
        <is>
          <t>35,43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total</t>
        </is>
      </c>
      <c r="B45" t="inlineStr">
        <is>
          <t>مجموع حقوق الملكية والمطلوبات</t>
        </is>
      </c>
      <c r="C45" t="inlineStr"/>
      <c r="D45" t="n">
        <v>376495054</v>
      </c>
      <c r="E45" t="n">
        <v>374116222</v>
      </c>
      <c r="R45" t="inlineStr">
        <is>
          <t>31,44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 الأولية الموحدة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الثلاثة أشهر المنتهية في 31 مارس 2025 (غير مدققة)</t>
        </is>
      </c>
      <c r="E7" s="5" t="inlineStr">
        <is>
          <t>لفترة الثلاثة أشهر المنتهية في 31 مارس 2024 (غير مدققة)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2025-03-31</t>
        </is>
      </c>
      <c r="E8" s="4" t="inlineStr">
        <is>
          <t>2024-03-31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ايرادات</t>
        </is>
      </c>
      <c r="C10" t="inlineStr">
        <is>
          <t>14</t>
        </is>
      </c>
      <c r="D10" t="n">
        <v>70141561</v>
      </c>
      <c r="E10" t="n">
        <v>62328632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/>
      <c r="D11" t="n">
        <v>-64326648</v>
      </c>
      <c r="E11" t="n">
        <v>-59217759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5814913</v>
      </c>
      <c r="E12" t="n">
        <v>3110873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/>
      <c r="D13" t="n">
        <v>-3944214</v>
      </c>
      <c r="E13" t="n">
        <v>-3562597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إدارية</t>
        </is>
      </c>
      <c r="C14" t="inlineStr"/>
      <c r="D14" t="n">
        <v>-5186063</v>
      </c>
      <c r="E14" t="n">
        <v>-4218797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رد الخسائر الائتمانية المتوقعة</t>
        </is>
      </c>
      <c r="C15" t="inlineStr">
        <is>
          <t>8</t>
        </is>
      </c>
      <c r="D15" t="n">
        <v>1055801</v>
      </c>
      <c r="E15" t="n">
        <v>829414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إيرادات أخرى، صافي</t>
        </is>
      </c>
      <c r="C16" t="inlineStr"/>
      <c r="D16" t="n">
        <v>455586</v>
      </c>
      <c r="E16" t="n">
        <v>204063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الخسارة قبل تكلفة التمويل والزكاة</t>
        </is>
      </c>
      <c r="C17" t="inlineStr"/>
      <c r="D17" t="n">
        <v>-1803977</v>
      </c>
      <c r="E17" t="n">
        <v>-3637044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تكلفة تمويل</t>
        </is>
      </c>
      <c r="C18" t="inlineStr"/>
      <c r="D18" t="n">
        <v>-678197</v>
      </c>
      <c r="E18" t="n">
        <v>-548275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إيرادات تمويلية</t>
        </is>
      </c>
      <c r="C19" t="inlineStr"/>
      <c r="D19" t="n">
        <v>78796</v>
      </c>
      <c r="E19" t="n">
        <v>249512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الخسارة قبل الزكاة</t>
        </is>
      </c>
      <c r="C20" t="inlineStr"/>
      <c r="D20" t="n">
        <v>-2403378</v>
      </c>
      <c r="E20" t="n">
        <v>-3935807</v>
      </c>
      <c r="R20" t="inlineStr">
        <is>
          <t>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الزكاة</t>
        </is>
      </c>
      <c r="C21" t="inlineStr"/>
      <c r="D21" t="n">
        <v>-700000</v>
      </c>
      <c r="E21" t="n">
        <v>-1350000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الخسارة من العمليات المستمرة</t>
        </is>
      </c>
      <c r="C22" t="inlineStr"/>
      <c r="D22" t="n">
        <v>-3103378</v>
      </c>
      <c r="E22" t="n">
        <v>-5285807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الخسارة من العمليات غير المستمرة</t>
        </is>
      </c>
      <c r="C23" t="inlineStr">
        <is>
          <t>16</t>
        </is>
      </c>
      <c r="D23" t="n">
        <v>-90523</v>
      </c>
      <c r="E23" t="n">
        <v>-2102778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الخسارة للفترة</t>
        </is>
      </c>
      <c r="C24" t="inlineStr"/>
      <c r="D24" t="n">
        <v>-3193901</v>
      </c>
      <c r="E24" t="n">
        <v>-7388585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الدخل الشامل الآخر</t>
        </is>
      </c>
      <c r="C25" t="inlineStr"/>
      <c r="D25" t="inlineStr">
        <is>
          <t>-</t>
        </is>
      </c>
      <c r="E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مجموع الخسارة الشاملة للسنة</t>
        </is>
      </c>
      <c r="C26" t="inlineStr"/>
      <c r="D26" t="n">
        <v>-3193901</v>
      </c>
      <c r="E26" t="n">
        <v>-7388585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خسارة السهم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الخسارة الأساسية والمخفضة للسهم</t>
        </is>
      </c>
      <c r="C28" t="inlineStr">
        <is>
          <t>15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- من العمليات المستمرة</t>
        </is>
      </c>
      <c r="C29" t="inlineStr"/>
      <c r="D29" t="n">
        <v>-0.09</v>
      </c>
      <c r="E29" t="n">
        <v>-0.15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  <c r="T29" t="inlineStr">
        <is>
          <t>riyals per share</t>
        </is>
      </c>
    </row>
    <row r="30">
      <c r="A30" t="inlineStr">
        <is>
          <t>item</t>
        </is>
      </c>
      <c r="B30" t="inlineStr">
        <is>
          <t>- من العمليات المستمرة والعمليات غير المستمرة</t>
        </is>
      </c>
      <c r="C30" t="inlineStr"/>
      <c r="D30" t="n">
        <v>-0.09</v>
      </c>
      <c r="E30" t="n">
        <v>-0.21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riyals per share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الأولية الموحدة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خسائر متراكمة</t>
        </is>
      </c>
      <c r="G7" s="5" t="inlineStr">
        <is>
          <t>مجموع حقوق الملكية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2024 (مدققة)</t>
        </is>
      </c>
      <c r="C10" t="inlineStr"/>
      <c r="D10" t="n">
        <v>354000000</v>
      </c>
      <c r="E10" t="n">
        <v>27173232</v>
      </c>
      <c r="F10" t="n">
        <v>-96892869</v>
      </c>
      <c r="G10" t="n">
        <v>284280363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خسارة الفترة</t>
        </is>
      </c>
      <c r="C11" t="inlineStr"/>
      <c r="D11" t="inlineStr">
        <is>
          <t>-</t>
        </is>
      </c>
      <c r="E11" t="inlineStr">
        <is>
          <t>-</t>
        </is>
      </c>
      <c r="F11" t="n">
        <v>-7388585</v>
      </c>
      <c r="G11" t="n">
        <v>-7388585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total</t>
        </is>
      </c>
      <c r="B12" t="inlineStr">
        <is>
          <t>الرصيد كما في 31 مارس 2024 - (غير مدققة)</t>
        </is>
      </c>
      <c r="C12" t="inlineStr"/>
      <c r="D12" t="n">
        <v>354000000</v>
      </c>
      <c r="E12" t="n">
        <v>27173232</v>
      </c>
      <c r="F12" t="n">
        <v>-104281454</v>
      </c>
      <c r="G12" t="n">
        <v>276891778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الرصيد في 1 يناير 2025 (مدققة)</t>
        </is>
      </c>
      <c r="C13" t="inlineStr"/>
      <c r="D13" t="n">
        <v>354000000</v>
      </c>
      <c r="E13" t="inlineStr">
        <is>
          <t>-</t>
        </is>
      </c>
      <c r="F13" t="n">
        <v>-108521913</v>
      </c>
      <c r="G13" t="n">
        <v>245478087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خسارة الفترة</t>
        </is>
      </c>
      <c r="C14" t="inlineStr"/>
      <c r="D14" t="inlineStr">
        <is>
          <t>-</t>
        </is>
      </c>
      <c r="E14" t="inlineStr">
        <is>
          <t>-</t>
        </is>
      </c>
      <c r="F14" t="n">
        <v>-3193901</v>
      </c>
      <c r="G14" t="n">
        <v>-3193901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total</t>
        </is>
      </c>
      <c r="B15" t="inlineStr">
        <is>
          <t>الرصيد كما في 31 مارس 2025 - (غير مدققة)</t>
        </is>
      </c>
      <c r="C15" t="inlineStr"/>
      <c r="D15" t="n">
        <v>354000000</v>
      </c>
      <c r="E15" t="inlineStr">
        <is>
          <t>-</t>
        </is>
      </c>
      <c r="F15" t="n">
        <v>-111715814</v>
      </c>
      <c r="G15" t="n">
        <v>242284186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الأولية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الثلاثة أشهر المنتهية في 31 مارس 2025 (غير مدققة)</t>
        </is>
      </c>
      <c r="E7" s="5" t="inlineStr">
        <is>
          <t>لفترة الثلاثة أشهر المنتهية في 31 مارس 2024 (غير مدققة)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2025-03-31</t>
        </is>
      </c>
      <c r="E8" s="4" t="inlineStr">
        <is>
          <t>2024-03-31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الخسارة قبل الزكاة من العمليات المستمرة</t>
        </is>
      </c>
      <c r="C11" t="inlineStr"/>
      <c r="D11" t="n">
        <v>-2403378</v>
      </c>
      <c r="E11" t="n">
        <v>-3935807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الخسارة قبل الزكاة من العمليات غير المستمرة</t>
        </is>
      </c>
      <c r="C12" t="inlineStr"/>
      <c r="D12" t="n">
        <v>-90523</v>
      </c>
      <c r="E12" t="n">
        <v>-2102778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الخسارة قبل الزكاة</t>
        </is>
      </c>
      <c r="C13" t="inlineStr"/>
      <c r="D13" t="n">
        <v>-2493901</v>
      </c>
      <c r="E13" t="n">
        <v>-6038585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تعديلات عن: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إستهلاك ممتلكات ومصنع ومعدات</t>
        </is>
      </c>
      <c r="C15" t="inlineStr"/>
      <c r="D15" t="n">
        <v>3017383</v>
      </c>
      <c r="E15" t="n">
        <v>3472049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إستهلاك أصول حق الإستخدام</t>
        </is>
      </c>
      <c r="C16" t="inlineStr"/>
      <c r="D16" t="n">
        <v>151910</v>
      </c>
      <c r="E16" t="n">
        <v>210991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إستهلاك عقارات إستثمارية</t>
        </is>
      </c>
      <c r="C17" t="inlineStr"/>
      <c r="D17" t="n">
        <v>50289</v>
      </c>
      <c r="E17" t="n">
        <v>50289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إطفاء موجودات غير ملموسة</t>
        </is>
      </c>
      <c r="C18" t="inlineStr"/>
      <c r="D18" t="n">
        <v>18381</v>
      </c>
      <c r="E18" t="n">
        <v>13722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تكلفة تمويل</t>
        </is>
      </c>
      <c r="C19" t="inlineStr"/>
      <c r="D19" t="n">
        <v>686983</v>
      </c>
      <c r="E19" t="n">
        <v>570469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إيرادات تمويلية</t>
        </is>
      </c>
      <c r="C20" t="inlineStr"/>
      <c r="D20" t="n">
        <v>-78796</v>
      </c>
      <c r="E20" t="n">
        <v>-249512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إلتزامات مزايا الموظفين</t>
        </is>
      </c>
      <c r="C21" t="inlineStr"/>
      <c r="D21" t="n">
        <v>587065</v>
      </c>
      <c r="E21" t="n">
        <v>822485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رد مخصص الخسائر الإئتمانية المتوقعة</t>
        </is>
      </c>
      <c r="C22" t="inlineStr">
        <is>
          <t>8</t>
        </is>
      </c>
      <c r="D22" t="n">
        <v>-1055801</v>
      </c>
      <c r="E22" t="n">
        <v>-829414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ربح إستبعاد ممتلكات ومصنع ومعدات</t>
        </is>
      </c>
      <c r="C23" t="inlineStr"/>
      <c r="D23" t="n">
        <v>-28259</v>
      </c>
      <c r="E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شطب مخزون</t>
        </is>
      </c>
      <c r="C24" t="inlineStr"/>
      <c r="D24" t="n">
        <v>-162929</v>
      </c>
      <c r="E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/>
      <c r="C25" t="inlineStr"/>
      <c r="D25" t="n">
        <v>692325</v>
      </c>
      <c r="E25" t="n">
        <v>-1977506</v>
      </c>
      <c r="R25" t="inlineStr">
        <is>
          <t>13,15,16,17,18,19,20,21,22,23,24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التغيرات في رأس المال العامل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مخزون</t>
        </is>
      </c>
      <c r="C27" t="inlineStr"/>
      <c r="D27" t="n">
        <v>7883532</v>
      </c>
      <c r="E27" t="n">
        <v>11543968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ذمم مدينة تجارية</t>
        </is>
      </c>
      <c r="C28" t="inlineStr"/>
      <c r="D28" t="n">
        <v>-4061014</v>
      </c>
      <c r="E28" t="n">
        <v>-6799586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مدفوعات مقدمة وموجودات أخرى</t>
        </is>
      </c>
      <c r="C29" t="inlineStr"/>
      <c r="D29" t="n">
        <v>-4122427</v>
      </c>
      <c r="E29" t="n">
        <v>-5039825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ذمم دائنة تجارية ودائنون أخرون</t>
        </is>
      </c>
      <c r="C30" t="inlineStr"/>
      <c r="D30" t="n">
        <v>-837052</v>
      </c>
      <c r="E30" t="n">
        <v>5445725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مصاريف مستحقة ومطلوبات أخرى</t>
        </is>
      </c>
      <c r="C31" t="inlineStr"/>
      <c r="D31" t="n">
        <v>-2418291</v>
      </c>
      <c r="E31" t="n">
        <v>-756331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النقد (المستخدم في) / الناتج من العمليات</t>
        </is>
      </c>
      <c r="C32" t="inlineStr"/>
      <c r="D32" t="n">
        <v>-2862927</v>
      </c>
      <c r="E32" t="n">
        <v>2416445</v>
      </c>
      <c r="R32" t="inlineStr">
        <is>
          <t>25,27,28,29,30,31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إلتزامات مزايا الموظفين المدفوعة</t>
        </is>
      </c>
      <c r="C33" t="inlineStr"/>
      <c r="D33" t="n">
        <v>-1409292</v>
      </c>
      <c r="E33" t="n">
        <v>-220623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تكلفة تمويل مدفوعة</t>
        </is>
      </c>
      <c r="C34" t="inlineStr"/>
      <c r="D34" t="n">
        <v>-448268</v>
      </c>
      <c r="E34" t="n">
        <v>-471333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إيرادات تمويلية مستلمة</t>
        </is>
      </c>
      <c r="C35" t="inlineStr"/>
      <c r="D35" t="n">
        <v>119774</v>
      </c>
      <c r="E35" t="n">
        <v>359257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>
        <is>
          <t>صافي النقد (المستخدم في) / الناتج من الأنشطة التشغيلية</t>
        </is>
      </c>
      <c r="C36" t="inlineStr"/>
      <c r="D36" t="n">
        <v>-4600713</v>
      </c>
      <c r="E36" t="n">
        <v>2083746</v>
      </c>
      <c r="R36" t="inlineStr">
        <is>
          <t>32,33,34,35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التدفقات النقدية من الأنشطة الإستثمارية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إضافات إلى ممتلكات ومصنع ومعدات</t>
        </is>
      </c>
      <c r="C38" t="inlineStr">
        <is>
          <t>6</t>
        </is>
      </c>
      <c r="D38" t="n">
        <v>-4387356</v>
      </c>
      <c r="E38" t="n">
        <v>-3904579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إضافات إلى موجودات غير ملموسة</t>
        </is>
      </c>
      <c r="C39" t="inlineStr"/>
      <c r="D39" t="n">
        <v>-382596</v>
      </c>
      <c r="E39" t="n">
        <v>-261650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المتحصل من إستبعاد ممتلكات ومصنع ومعدات</t>
        </is>
      </c>
      <c r="C40" t="inlineStr"/>
      <c r="D40" t="n">
        <v>28261</v>
      </c>
      <c r="E40" t="inlineStr">
        <is>
          <t>-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total</t>
        </is>
      </c>
      <c r="B41" t="inlineStr">
        <is>
          <t>صافي النقد المستخدم في الأنشطة الإستثمارية</t>
        </is>
      </c>
      <c r="C41" t="inlineStr"/>
      <c r="D41" t="n">
        <v>-4741691</v>
      </c>
      <c r="E41" t="n">
        <v>-4166229</v>
      </c>
      <c r="R41" t="inlineStr">
        <is>
          <t>38,39,40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section</t>
        </is>
      </c>
      <c r="B42" t="inlineStr">
        <is>
          <t>التدفقات النقدية من الأنشطة التمويلية</t>
        </is>
      </c>
      <c r="C42" t="inlineStr"/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المتحصل من قروض قصيرة الأجل</t>
        </is>
      </c>
      <c r="C43" t="inlineStr"/>
      <c r="D43" t="n">
        <v>23791300</v>
      </c>
      <c r="E43" t="n">
        <v>18698220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سداد قروض قصيرة الأجل</t>
        </is>
      </c>
      <c r="C44" t="inlineStr"/>
      <c r="D44" t="n">
        <v>-14781601</v>
      </c>
      <c r="E44" t="n">
        <v>-9000000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سداد إلتزامات عقود الإيجار</t>
        </is>
      </c>
      <c r="C45" t="inlineStr"/>
      <c r="D45" t="n">
        <v>-600060</v>
      </c>
      <c r="E45" t="inlineStr">
        <is>
          <t>-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صافي النقد الناتج من الأنشطة التمويلية</t>
        </is>
      </c>
      <c r="C46" t="inlineStr"/>
      <c r="D46" t="n">
        <v>8409639</v>
      </c>
      <c r="E46" t="n">
        <v>9698220</v>
      </c>
      <c r="R46" t="inlineStr">
        <is>
          <t>43,44,45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التغير في النقد وما في حكمه</t>
        </is>
      </c>
      <c r="C47" t="inlineStr"/>
      <c r="D47" t="n">
        <v>-932765</v>
      </c>
      <c r="E47" t="n">
        <v>7615737</v>
      </c>
      <c r="R47" t="inlineStr">
        <is>
          <t>36,41,46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نقد وما في حكمه في بداية الفترة</t>
        </is>
      </c>
      <c r="C48" t="inlineStr"/>
      <c r="D48" t="n">
        <v>25587396</v>
      </c>
      <c r="E48" t="n">
        <v>47017690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نقد و ما في حكمه في نهاية الفترة</t>
        </is>
      </c>
      <c r="C49" t="inlineStr"/>
      <c r="D49" t="n">
        <v>24654631</v>
      </c>
      <c r="E49" t="n">
        <v>54633427</v>
      </c>
      <c r="R49" t="inlineStr">
        <is>
          <t>47,48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