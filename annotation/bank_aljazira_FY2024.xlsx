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bushra/Desktop/Documents/AIGP/paper/annotation/"/>
    </mc:Choice>
  </mc:AlternateContent>
  <xr:revisionPtr revIDLastSave="0" documentId="13_ncr:1_{A9E9A666-B46C-5048-AD86-40AC1E147488}" xr6:coauthVersionLast="47" xr6:coauthVersionMax="47" xr10:uidLastSave="{00000000-0000-0000-0000-000000000000}"/>
  <bookViews>
    <workbookView xWindow="0" yWindow="660" windowWidth="30240" windowHeight="17360" xr2:uid="{00000000-000D-0000-FFFF-FFFF00000000}"/>
  </bookViews>
  <sheets>
    <sheet name="README" sheetId="1" r:id="rId1"/>
    <sheet name="filing" sheetId="2" r:id="rId2"/>
    <sheet name="1_financial_position" sheetId="3" r:id="rId3"/>
    <sheet name="2_income" sheetId="4" r:id="rId4"/>
    <sheet name="3_comprehensive_income" sheetId="5" r:id="rId5"/>
    <sheet name="4_changes_in_equity" sheetId="6" r:id="rId6"/>
    <sheet name="5_cash_flow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09" i="7" l="1"/>
  <c r="S208" i="7"/>
  <c r="S207" i="7"/>
  <c r="S206" i="7"/>
  <c r="S205" i="7"/>
  <c r="S204" i="7"/>
  <c r="S203" i="7"/>
  <c r="S202" i="7"/>
  <c r="S201" i="7"/>
  <c r="S200" i="7"/>
  <c r="S199" i="7"/>
  <c r="S198" i="7"/>
  <c r="S197" i="7"/>
  <c r="S196" i="7"/>
  <c r="S195" i="7"/>
  <c r="S194" i="7"/>
  <c r="S193" i="7"/>
  <c r="S192" i="7"/>
  <c r="S191" i="7"/>
  <c r="S190" i="7"/>
  <c r="S189" i="7"/>
  <c r="S188" i="7"/>
  <c r="S187" i="7"/>
  <c r="S186" i="7"/>
  <c r="S185" i="7"/>
  <c r="S184" i="7"/>
  <c r="S183" i="7"/>
  <c r="S182" i="7"/>
  <c r="S181" i="7"/>
  <c r="S180" i="7"/>
  <c r="S179" i="7"/>
  <c r="S178" i="7"/>
  <c r="S177" i="7"/>
  <c r="S176" i="7"/>
  <c r="S175" i="7"/>
  <c r="S174" i="7"/>
  <c r="S173" i="7"/>
  <c r="S172" i="7"/>
  <c r="S171" i="7"/>
  <c r="S170" i="7"/>
  <c r="S169" i="7"/>
  <c r="S168" i="7"/>
  <c r="S167" i="7"/>
  <c r="S166" i="7"/>
  <c r="S165" i="7"/>
  <c r="S164" i="7"/>
  <c r="S163" i="7"/>
  <c r="S162" i="7"/>
  <c r="S161" i="7"/>
  <c r="S160" i="7"/>
  <c r="S159" i="7"/>
  <c r="S158" i="7"/>
  <c r="S157" i="7"/>
  <c r="S156" i="7"/>
  <c r="S155" i="7"/>
  <c r="S154" i="7"/>
  <c r="S153" i="7"/>
  <c r="S152" i="7"/>
  <c r="S151" i="7"/>
  <c r="S150" i="7"/>
  <c r="S149" i="7"/>
  <c r="S148" i="7"/>
  <c r="S147" i="7"/>
  <c r="S146" i="7"/>
  <c r="S145" i="7"/>
  <c r="S144" i="7"/>
  <c r="S143" i="7"/>
  <c r="S142" i="7"/>
  <c r="S141" i="7"/>
  <c r="S140" i="7"/>
  <c r="S139" i="7"/>
  <c r="S138" i="7"/>
  <c r="S137" i="7"/>
  <c r="S136" i="7"/>
  <c r="S135" i="7"/>
  <c r="S134" i="7"/>
  <c r="S133" i="7"/>
  <c r="S132" i="7"/>
  <c r="S131" i="7"/>
  <c r="S130" i="7"/>
  <c r="S129" i="7"/>
  <c r="S128" i="7"/>
  <c r="S127" i="7"/>
  <c r="S126" i="7"/>
  <c r="S125" i="7"/>
  <c r="S124" i="7"/>
  <c r="S123" i="7"/>
  <c r="S122" i="7"/>
  <c r="S121" i="7"/>
  <c r="S120" i="7"/>
  <c r="S119" i="7"/>
  <c r="S118" i="7"/>
  <c r="S117" i="7"/>
  <c r="S116" i="7"/>
  <c r="S115" i="7"/>
  <c r="S114" i="7"/>
  <c r="S113" i="7"/>
  <c r="S112" i="7"/>
  <c r="S111" i="7"/>
  <c r="S110" i="7"/>
  <c r="S109" i="7"/>
  <c r="S108" i="7"/>
  <c r="S107" i="7"/>
  <c r="S106" i="7"/>
  <c r="S105" i="7"/>
  <c r="S104" i="7"/>
  <c r="S103" i="7"/>
  <c r="S102" i="7"/>
  <c r="S101" i="7"/>
  <c r="S100" i="7"/>
  <c r="S99" i="7"/>
  <c r="S98" i="7"/>
  <c r="S97" i="7"/>
  <c r="S96" i="7"/>
  <c r="S95" i="7"/>
  <c r="S94" i="7"/>
  <c r="S93" i="7"/>
  <c r="S92" i="7"/>
  <c r="S91" i="7"/>
  <c r="S90" i="7"/>
  <c r="S89" i="7"/>
  <c r="S88" i="7"/>
  <c r="S87" i="7"/>
  <c r="S86" i="7"/>
  <c r="S85" i="7"/>
  <c r="S84" i="7"/>
  <c r="S83" i="7"/>
  <c r="S82" i="7"/>
  <c r="S81" i="7"/>
  <c r="S80" i="7"/>
  <c r="S79" i="7"/>
  <c r="S78" i="7"/>
  <c r="S77" i="7"/>
  <c r="S76" i="7"/>
  <c r="S75" i="7"/>
  <c r="S74" i="7"/>
  <c r="S73" i="7"/>
  <c r="S72" i="7"/>
  <c r="S71" i="7"/>
  <c r="S70" i="7"/>
  <c r="S69" i="7"/>
  <c r="S68" i="7"/>
  <c r="S67" i="7"/>
  <c r="S66" i="7"/>
  <c r="S65" i="7"/>
  <c r="S64" i="7"/>
  <c r="S63" i="7"/>
  <c r="S62" i="7"/>
  <c r="S61" i="7"/>
  <c r="S60" i="7"/>
  <c r="S59" i="7"/>
  <c r="S58" i="7"/>
  <c r="S57" i="7"/>
  <c r="S56" i="7"/>
  <c r="S55" i="7"/>
  <c r="S54" i="7"/>
  <c r="S53" i="7"/>
  <c r="S52" i="7"/>
  <c r="S51" i="7"/>
  <c r="S50" i="7"/>
  <c r="S49" i="7"/>
  <c r="S48" i="7"/>
  <c r="S47" i="7"/>
  <c r="S46" i="7"/>
  <c r="S45" i="7"/>
  <c r="S44" i="7"/>
  <c r="S43" i="7"/>
  <c r="S42" i="7"/>
  <c r="S41" i="7"/>
  <c r="S40" i="7"/>
  <c r="S39" i="7"/>
  <c r="S38" i="7"/>
  <c r="S37" i="7"/>
  <c r="S36" i="7"/>
  <c r="S35" i="7"/>
  <c r="S34" i="7"/>
  <c r="S33" i="7"/>
  <c r="S32" i="7"/>
  <c r="S31" i="7"/>
  <c r="S30" i="7"/>
  <c r="S29" i="7"/>
  <c r="S28" i="7"/>
  <c r="S27" i="7"/>
  <c r="S26" i="7"/>
  <c r="S25" i="7"/>
  <c r="S24" i="7"/>
  <c r="S23" i="7"/>
  <c r="S22" i="7"/>
  <c r="S21" i="7"/>
  <c r="S20" i="7"/>
  <c r="S19" i="7"/>
  <c r="S18" i="7"/>
  <c r="S17" i="7"/>
  <c r="S16" i="7"/>
  <c r="S15" i="7"/>
  <c r="S14" i="7"/>
  <c r="S13" i="7"/>
  <c r="S12" i="7"/>
  <c r="S11" i="7"/>
  <c r="S10" i="7"/>
  <c r="S209" i="6"/>
  <c r="S208" i="6"/>
  <c r="S207" i="6"/>
  <c r="S206" i="6"/>
  <c r="S205" i="6"/>
  <c r="S204" i="6"/>
  <c r="S203" i="6"/>
  <c r="S202" i="6"/>
  <c r="S201" i="6"/>
  <c r="S200" i="6"/>
  <c r="S199" i="6"/>
  <c r="S198" i="6"/>
  <c r="S197" i="6"/>
  <c r="S196" i="6"/>
  <c r="S195" i="6"/>
  <c r="S194" i="6"/>
  <c r="S193" i="6"/>
  <c r="S192" i="6"/>
  <c r="S191" i="6"/>
  <c r="S190" i="6"/>
  <c r="S189" i="6"/>
  <c r="S188" i="6"/>
  <c r="S187" i="6"/>
  <c r="S186" i="6"/>
  <c r="S185" i="6"/>
  <c r="S184" i="6"/>
  <c r="S183" i="6"/>
  <c r="S182" i="6"/>
  <c r="S181" i="6"/>
  <c r="S180" i="6"/>
  <c r="S179" i="6"/>
  <c r="S178" i="6"/>
  <c r="S177" i="6"/>
  <c r="S176" i="6"/>
  <c r="S175" i="6"/>
  <c r="S174" i="6"/>
  <c r="S173" i="6"/>
  <c r="S172" i="6"/>
  <c r="S171" i="6"/>
  <c r="S170" i="6"/>
  <c r="S169" i="6"/>
  <c r="S168" i="6"/>
  <c r="S167" i="6"/>
  <c r="S166" i="6"/>
  <c r="S165" i="6"/>
  <c r="S164" i="6"/>
  <c r="S163" i="6"/>
  <c r="S162" i="6"/>
  <c r="S161" i="6"/>
  <c r="S160" i="6"/>
  <c r="S159" i="6"/>
  <c r="S158" i="6"/>
  <c r="S157" i="6"/>
  <c r="S156" i="6"/>
  <c r="S155" i="6"/>
  <c r="S154" i="6"/>
  <c r="S153" i="6"/>
  <c r="S152" i="6"/>
  <c r="S151" i="6"/>
  <c r="S150" i="6"/>
  <c r="S149" i="6"/>
  <c r="S148" i="6"/>
  <c r="S147" i="6"/>
  <c r="S146" i="6"/>
  <c r="S145" i="6"/>
  <c r="S144" i="6"/>
  <c r="S143" i="6"/>
  <c r="S142" i="6"/>
  <c r="S141" i="6"/>
  <c r="S140" i="6"/>
  <c r="S139" i="6"/>
  <c r="S138" i="6"/>
  <c r="S137" i="6"/>
  <c r="S136" i="6"/>
  <c r="S135" i="6"/>
  <c r="S134" i="6"/>
  <c r="S133" i="6"/>
  <c r="S132" i="6"/>
  <c r="S131" i="6"/>
  <c r="S130" i="6"/>
  <c r="S129" i="6"/>
  <c r="S128" i="6"/>
  <c r="S127" i="6"/>
  <c r="S126" i="6"/>
  <c r="S125" i="6"/>
  <c r="S124" i="6"/>
  <c r="S123" i="6"/>
  <c r="S122" i="6"/>
  <c r="S121" i="6"/>
  <c r="S120" i="6"/>
  <c r="S119" i="6"/>
  <c r="S118" i="6"/>
  <c r="S117" i="6"/>
  <c r="S116" i="6"/>
  <c r="S115" i="6"/>
  <c r="S114" i="6"/>
  <c r="S113" i="6"/>
  <c r="S112" i="6"/>
  <c r="S111" i="6"/>
  <c r="S110" i="6"/>
  <c r="S109" i="6"/>
  <c r="S108" i="6"/>
  <c r="S107" i="6"/>
  <c r="S106" i="6"/>
  <c r="S105" i="6"/>
  <c r="S104" i="6"/>
  <c r="S103" i="6"/>
  <c r="S102" i="6"/>
  <c r="S101" i="6"/>
  <c r="S100" i="6"/>
  <c r="S99" i="6"/>
  <c r="S98" i="6"/>
  <c r="S97" i="6"/>
  <c r="S96" i="6"/>
  <c r="S95" i="6"/>
  <c r="S94" i="6"/>
  <c r="S93" i="6"/>
  <c r="S92" i="6"/>
  <c r="S91" i="6"/>
  <c r="S90" i="6"/>
  <c r="S89" i="6"/>
  <c r="S88" i="6"/>
  <c r="S87" i="6"/>
  <c r="S86" i="6"/>
  <c r="S85" i="6"/>
  <c r="S84" i="6"/>
  <c r="S83" i="6"/>
  <c r="S82" i="6"/>
  <c r="S81" i="6"/>
  <c r="S80" i="6"/>
  <c r="S79" i="6"/>
  <c r="S78" i="6"/>
  <c r="S77" i="6"/>
  <c r="S76" i="6"/>
  <c r="S75" i="6"/>
  <c r="S74" i="6"/>
  <c r="S73" i="6"/>
  <c r="S72" i="6"/>
  <c r="S71" i="6"/>
  <c r="S70" i="6"/>
  <c r="S69" i="6"/>
  <c r="S68" i="6"/>
  <c r="S67" i="6"/>
  <c r="S66" i="6"/>
  <c r="S65" i="6"/>
  <c r="S64" i="6"/>
  <c r="S63" i="6"/>
  <c r="S62" i="6"/>
  <c r="S61" i="6"/>
  <c r="S60" i="6"/>
  <c r="S59" i="6"/>
  <c r="S58" i="6"/>
  <c r="S57" i="6"/>
  <c r="S56" i="6"/>
  <c r="S55" i="6"/>
  <c r="S54" i="6"/>
  <c r="S53" i="6"/>
  <c r="S52" i="6"/>
  <c r="S51" i="6"/>
  <c r="S50" i="6"/>
  <c r="S49" i="6"/>
  <c r="S48" i="6"/>
  <c r="S47" i="6"/>
  <c r="S46" i="6"/>
  <c r="S45" i="6"/>
  <c r="S44" i="6"/>
  <c r="S43" i="6"/>
  <c r="S42" i="6"/>
  <c r="S41" i="6"/>
  <c r="S40" i="6"/>
  <c r="S39" i="6"/>
  <c r="S38" i="6"/>
  <c r="S37" i="6"/>
  <c r="S36" i="6"/>
  <c r="S35" i="6"/>
  <c r="S34" i="6"/>
  <c r="S33" i="6"/>
  <c r="S32" i="6"/>
  <c r="S31" i="6"/>
  <c r="S30" i="6"/>
  <c r="S29" i="6"/>
  <c r="S28" i="6"/>
  <c r="S27" i="6"/>
  <c r="S26" i="6"/>
  <c r="S25" i="6"/>
  <c r="S24" i="6"/>
  <c r="S23" i="6"/>
  <c r="S22" i="6"/>
  <c r="S21" i="6"/>
  <c r="S20" i="6"/>
  <c r="S19" i="6"/>
  <c r="S18" i="6"/>
  <c r="S17" i="6"/>
  <c r="S16" i="6"/>
  <c r="S15" i="6"/>
  <c r="S14" i="6"/>
  <c r="S13" i="6"/>
  <c r="S12" i="6"/>
  <c r="S11" i="6"/>
  <c r="S10" i="6"/>
  <c r="S209" i="5"/>
  <c r="S208" i="5"/>
  <c r="S207" i="5"/>
  <c r="S206" i="5"/>
  <c r="S205" i="5"/>
  <c r="S204" i="5"/>
  <c r="S203" i="5"/>
  <c r="S202" i="5"/>
  <c r="S201" i="5"/>
  <c r="S200" i="5"/>
  <c r="S199" i="5"/>
  <c r="S198" i="5"/>
  <c r="S197" i="5"/>
  <c r="S196" i="5"/>
  <c r="S195" i="5"/>
  <c r="S194" i="5"/>
  <c r="S193" i="5"/>
  <c r="S192" i="5"/>
  <c r="S191" i="5"/>
  <c r="S190" i="5"/>
  <c r="S189" i="5"/>
  <c r="S188" i="5"/>
  <c r="S187" i="5"/>
  <c r="S186" i="5"/>
  <c r="S185" i="5"/>
  <c r="S184" i="5"/>
  <c r="S183" i="5"/>
  <c r="S182" i="5"/>
  <c r="S181" i="5"/>
  <c r="S180" i="5"/>
  <c r="S179" i="5"/>
  <c r="S178" i="5"/>
  <c r="S177" i="5"/>
  <c r="S176" i="5"/>
  <c r="S175" i="5"/>
  <c r="S174" i="5"/>
  <c r="S173" i="5"/>
  <c r="S172" i="5"/>
  <c r="S171" i="5"/>
  <c r="S170" i="5"/>
  <c r="S169" i="5"/>
  <c r="S168" i="5"/>
  <c r="S167" i="5"/>
  <c r="S166" i="5"/>
  <c r="S165" i="5"/>
  <c r="S164" i="5"/>
  <c r="S163" i="5"/>
  <c r="S162" i="5"/>
  <c r="S161" i="5"/>
  <c r="S160" i="5"/>
  <c r="S159" i="5"/>
  <c r="S158" i="5"/>
  <c r="S157" i="5"/>
  <c r="S156" i="5"/>
  <c r="S155" i="5"/>
  <c r="S154" i="5"/>
  <c r="S153" i="5"/>
  <c r="S152" i="5"/>
  <c r="S151" i="5"/>
  <c r="S150" i="5"/>
  <c r="S149" i="5"/>
  <c r="S148" i="5"/>
  <c r="S147" i="5"/>
  <c r="S146" i="5"/>
  <c r="S145" i="5"/>
  <c r="S144" i="5"/>
  <c r="S143" i="5"/>
  <c r="S142" i="5"/>
  <c r="S141" i="5"/>
  <c r="S140" i="5"/>
  <c r="S139" i="5"/>
  <c r="S138" i="5"/>
  <c r="S137" i="5"/>
  <c r="S136" i="5"/>
  <c r="S135" i="5"/>
  <c r="S134" i="5"/>
  <c r="S133" i="5"/>
  <c r="S132" i="5"/>
  <c r="S131" i="5"/>
  <c r="S130" i="5"/>
  <c r="S129" i="5"/>
  <c r="S128" i="5"/>
  <c r="S127" i="5"/>
  <c r="S126" i="5"/>
  <c r="S125" i="5"/>
  <c r="S124" i="5"/>
  <c r="S123" i="5"/>
  <c r="S122" i="5"/>
  <c r="S121" i="5"/>
  <c r="S120" i="5"/>
  <c r="S119" i="5"/>
  <c r="S118" i="5"/>
  <c r="S117" i="5"/>
  <c r="S116" i="5"/>
  <c r="S115" i="5"/>
  <c r="S114" i="5"/>
  <c r="S113" i="5"/>
  <c r="S112" i="5"/>
  <c r="S111" i="5"/>
  <c r="S110" i="5"/>
  <c r="S109" i="5"/>
  <c r="S108" i="5"/>
  <c r="S107" i="5"/>
  <c r="S106" i="5"/>
  <c r="S105" i="5"/>
  <c r="S104" i="5"/>
  <c r="S103" i="5"/>
  <c r="S102" i="5"/>
  <c r="S101" i="5"/>
  <c r="S100" i="5"/>
  <c r="S99" i="5"/>
  <c r="S98" i="5"/>
  <c r="S97" i="5"/>
  <c r="S96" i="5"/>
  <c r="S95" i="5"/>
  <c r="S94" i="5"/>
  <c r="S93" i="5"/>
  <c r="S92" i="5"/>
  <c r="S91" i="5"/>
  <c r="S90" i="5"/>
  <c r="S89" i="5"/>
  <c r="S88" i="5"/>
  <c r="S87" i="5"/>
  <c r="S86" i="5"/>
  <c r="S85" i="5"/>
  <c r="S84" i="5"/>
  <c r="S83" i="5"/>
  <c r="S82" i="5"/>
  <c r="S81" i="5"/>
  <c r="S80" i="5"/>
  <c r="S79" i="5"/>
  <c r="S78" i="5"/>
  <c r="S77" i="5"/>
  <c r="S76" i="5"/>
  <c r="S75" i="5"/>
  <c r="S74" i="5"/>
  <c r="S73" i="5"/>
  <c r="S72" i="5"/>
  <c r="S71" i="5"/>
  <c r="S70" i="5"/>
  <c r="S69" i="5"/>
  <c r="S68" i="5"/>
  <c r="S67" i="5"/>
  <c r="S66" i="5"/>
  <c r="S65" i="5"/>
  <c r="S64" i="5"/>
  <c r="S63" i="5"/>
  <c r="S62" i="5"/>
  <c r="S61" i="5"/>
  <c r="S60" i="5"/>
  <c r="S59" i="5"/>
  <c r="S58" i="5"/>
  <c r="S57" i="5"/>
  <c r="S56" i="5"/>
  <c r="S55" i="5"/>
  <c r="S54" i="5"/>
  <c r="S53" i="5"/>
  <c r="S52" i="5"/>
  <c r="S51" i="5"/>
  <c r="S50" i="5"/>
  <c r="S49" i="5"/>
  <c r="S48" i="5"/>
  <c r="S47" i="5"/>
  <c r="S46" i="5"/>
  <c r="S45" i="5"/>
  <c r="S44" i="5"/>
  <c r="S43" i="5"/>
  <c r="S42" i="5"/>
  <c r="S41" i="5"/>
  <c r="S40" i="5"/>
  <c r="S39" i="5"/>
  <c r="S38" i="5"/>
  <c r="S37" i="5"/>
  <c r="S36" i="5"/>
  <c r="S35" i="5"/>
  <c r="S34" i="5"/>
  <c r="S33" i="5"/>
  <c r="S32" i="5"/>
  <c r="S31" i="5"/>
  <c r="S30" i="5"/>
  <c r="S29" i="5"/>
  <c r="S28" i="5"/>
  <c r="S27" i="5"/>
  <c r="S26" i="5"/>
  <c r="S25" i="5"/>
  <c r="S24" i="5"/>
  <c r="S23" i="5"/>
  <c r="S22" i="5"/>
  <c r="S21" i="5"/>
  <c r="S20" i="5"/>
  <c r="S19" i="5"/>
  <c r="S18" i="5"/>
  <c r="S17" i="5"/>
  <c r="S16" i="5"/>
  <c r="S15" i="5"/>
  <c r="S14" i="5"/>
  <c r="S13" i="5"/>
  <c r="S12" i="5"/>
  <c r="S11" i="5"/>
  <c r="S10" i="5"/>
  <c r="S209" i="4"/>
  <c r="S208" i="4"/>
  <c r="S207" i="4"/>
  <c r="S206" i="4"/>
  <c r="S205" i="4"/>
  <c r="S204" i="4"/>
  <c r="S203" i="4"/>
  <c r="S202" i="4"/>
  <c r="S201" i="4"/>
  <c r="S200" i="4"/>
  <c r="S199" i="4"/>
  <c r="S198" i="4"/>
  <c r="S197" i="4"/>
  <c r="S196" i="4"/>
  <c r="S195" i="4"/>
  <c r="S194" i="4"/>
  <c r="S193" i="4"/>
  <c r="S192" i="4"/>
  <c r="S191" i="4"/>
  <c r="S190" i="4"/>
  <c r="S189" i="4"/>
  <c r="S188" i="4"/>
  <c r="S187" i="4"/>
  <c r="S186" i="4"/>
  <c r="S185" i="4"/>
  <c r="S184" i="4"/>
  <c r="S183" i="4"/>
  <c r="S182" i="4"/>
  <c r="S181" i="4"/>
  <c r="S180" i="4"/>
  <c r="S179" i="4"/>
  <c r="S178" i="4"/>
  <c r="S177" i="4"/>
  <c r="S176" i="4"/>
  <c r="S175" i="4"/>
  <c r="S174" i="4"/>
  <c r="S173" i="4"/>
  <c r="S172" i="4"/>
  <c r="S171" i="4"/>
  <c r="S170" i="4"/>
  <c r="S169" i="4"/>
  <c r="S168" i="4"/>
  <c r="S167" i="4"/>
  <c r="S166" i="4"/>
  <c r="S165" i="4"/>
  <c r="S164" i="4"/>
  <c r="S163" i="4"/>
  <c r="S162" i="4"/>
  <c r="S161" i="4"/>
  <c r="S160" i="4"/>
  <c r="S159" i="4"/>
  <c r="S158" i="4"/>
  <c r="S157" i="4"/>
  <c r="S156" i="4"/>
  <c r="S155" i="4"/>
  <c r="S154" i="4"/>
  <c r="S153" i="4"/>
  <c r="S152" i="4"/>
  <c r="S151" i="4"/>
  <c r="S150" i="4"/>
  <c r="S149" i="4"/>
  <c r="S148" i="4"/>
  <c r="S147" i="4"/>
  <c r="S146" i="4"/>
  <c r="S145" i="4"/>
  <c r="S144" i="4"/>
  <c r="S143" i="4"/>
  <c r="S142" i="4"/>
  <c r="S141" i="4"/>
  <c r="S140" i="4"/>
  <c r="S139" i="4"/>
  <c r="S138" i="4"/>
  <c r="S137" i="4"/>
  <c r="S136" i="4"/>
  <c r="S135" i="4"/>
  <c r="S134" i="4"/>
  <c r="S133" i="4"/>
  <c r="S132" i="4"/>
  <c r="S131" i="4"/>
  <c r="S130" i="4"/>
  <c r="S129" i="4"/>
  <c r="S128" i="4"/>
  <c r="S127" i="4"/>
  <c r="S126" i="4"/>
  <c r="S125" i="4"/>
  <c r="S124" i="4"/>
  <c r="S123" i="4"/>
  <c r="S122" i="4"/>
  <c r="S121" i="4"/>
  <c r="S120" i="4"/>
  <c r="S119" i="4"/>
  <c r="S118" i="4"/>
  <c r="S117" i="4"/>
  <c r="S116" i="4"/>
  <c r="S115" i="4"/>
  <c r="S114" i="4"/>
  <c r="S113" i="4"/>
  <c r="S112" i="4"/>
  <c r="S111" i="4"/>
  <c r="S110" i="4"/>
  <c r="S109" i="4"/>
  <c r="S108" i="4"/>
  <c r="S107" i="4"/>
  <c r="S106" i="4"/>
  <c r="S105" i="4"/>
  <c r="S104" i="4"/>
  <c r="S103" i="4"/>
  <c r="S102" i="4"/>
  <c r="S101" i="4"/>
  <c r="S100" i="4"/>
  <c r="S99" i="4"/>
  <c r="S98" i="4"/>
  <c r="S97" i="4"/>
  <c r="S96" i="4"/>
  <c r="S95" i="4"/>
  <c r="S94" i="4"/>
  <c r="S93" i="4"/>
  <c r="S92" i="4"/>
  <c r="S91" i="4"/>
  <c r="S90" i="4"/>
  <c r="S89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209" i="3"/>
  <c r="S208" i="3"/>
  <c r="S207" i="3"/>
  <c r="S206" i="3"/>
  <c r="S205" i="3"/>
  <c r="S204" i="3"/>
  <c r="S203" i="3"/>
  <c r="S202" i="3"/>
  <c r="S201" i="3"/>
  <c r="S200" i="3"/>
  <c r="S199" i="3"/>
  <c r="S198" i="3"/>
  <c r="S197" i="3"/>
  <c r="S196" i="3"/>
  <c r="S195" i="3"/>
  <c r="S194" i="3"/>
  <c r="S193" i="3"/>
  <c r="S192" i="3"/>
  <c r="S191" i="3"/>
  <c r="S190" i="3"/>
  <c r="S189" i="3"/>
  <c r="S188" i="3"/>
  <c r="S187" i="3"/>
  <c r="S186" i="3"/>
  <c r="S185" i="3"/>
  <c r="S184" i="3"/>
  <c r="S183" i="3"/>
  <c r="S182" i="3"/>
  <c r="S181" i="3"/>
  <c r="S180" i="3"/>
  <c r="S179" i="3"/>
  <c r="S178" i="3"/>
  <c r="S177" i="3"/>
  <c r="S176" i="3"/>
  <c r="S175" i="3"/>
  <c r="S174" i="3"/>
  <c r="S173" i="3"/>
  <c r="S172" i="3"/>
  <c r="S171" i="3"/>
  <c r="S170" i="3"/>
  <c r="S169" i="3"/>
  <c r="S168" i="3"/>
  <c r="S167" i="3"/>
  <c r="S166" i="3"/>
  <c r="S165" i="3"/>
  <c r="S164" i="3"/>
  <c r="S163" i="3"/>
  <c r="S162" i="3"/>
  <c r="S161" i="3"/>
  <c r="S160" i="3"/>
  <c r="S159" i="3"/>
  <c r="S158" i="3"/>
  <c r="S157" i="3"/>
  <c r="S156" i="3"/>
  <c r="S155" i="3"/>
  <c r="S154" i="3"/>
  <c r="S153" i="3"/>
  <c r="S152" i="3"/>
  <c r="S151" i="3"/>
  <c r="S150" i="3"/>
  <c r="S149" i="3"/>
  <c r="S148" i="3"/>
  <c r="S147" i="3"/>
  <c r="S146" i="3"/>
  <c r="S145" i="3"/>
  <c r="S144" i="3"/>
  <c r="S143" i="3"/>
  <c r="S142" i="3"/>
  <c r="S141" i="3"/>
  <c r="S140" i="3"/>
  <c r="S139" i="3"/>
  <c r="S138" i="3"/>
  <c r="S137" i="3"/>
  <c r="S136" i="3"/>
  <c r="S135" i="3"/>
  <c r="S134" i="3"/>
  <c r="S133" i="3"/>
  <c r="S132" i="3"/>
  <c r="S131" i="3"/>
  <c r="S130" i="3"/>
  <c r="S129" i="3"/>
  <c r="S128" i="3"/>
  <c r="S127" i="3"/>
  <c r="S126" i="3"/>
  <c r="S125" i="3"/>
  <c r="S124" i="3"/>
  <c r="S123" i="3"/>
  <c r="S122" i="3"/>
  <c r="S121" i="3"/>
  <c r="S120" i="3"/>
  <c r="S119" i="3"/>
  <c r="S118" i="3"/>
  <c r="S117" i="3"/>
  <c r="S116" i="3"/>
  <c r="S115" i="3"/>
  <c r="S114" i="3"/>
  <c r="S113" i="3"/>
  <c r="S112" i="3"/>
  <c r="S111" i="3"/>
  <c r="S110" i="3"/>
  <c r="S109" i="3"/>
  <c r="S108" i="3"/>
  <c r="S107" i="3"/>
  <c r="S106" i="3"/>
  <c r="S105" i="3"/>
  <c r="S104" i="3"/>
  <c r="S103" i="3"/>
  <c r="S102" i="3"/>
  <c r="S101" i="3"/>
  <c r="S100" i="3"/>
  <c r="S99" i="3"/>
  <c r="S98" i="3"/>
  <c r="S97" i="3"/>
  <c r="S96" i="3"/>
  <c r="S95" i="3"/>
  <c r="S94" i="3"/>
  <c r="S93" i="3"/>
  <c r="S92" i="3"/>
  <c r="S91" i="3"/>
  <c r="S90" i="3"/>
  <c r="S89" i="3"/>
  <c r="S88" i="3"/>
  <c r="S87" i="3"/>
  <c r="S86" i="3"/>
  <c r="S85" i="3"/>
  <c r="S84" i="3"/>
  <c r="S83" i="3"/>
  <c r="S82" i="3"/>
  <c r="S81" i="3"/>
  <c r="S80" i="3"/>
  <c r="S79" i="3"/>
  <c r="S78" i="3"/>
  <c r="S77" i="3"/>
  <c r="S76" i="3"/>
  <c r="S75" i="3"/>
  <c r="S74" i="3"/>
  <c r="S73" i="3"/>
  <c r="S72" i="3"/>
  <c r="S71" i="3"/>
  <c r="S70" i="3"/>
  <c r="S69" i="3"/>
  <c r="S68" i="3"/>
  <c r="S67" i="3"/>
  <c r="S66" i="3"/>
  <c r="S65" i="3"/>
  <c r="S64" i="3"/>
  <c r="S63" i="3"/>
  <c r="S62" i="3"/>
  <c r="S61" i="3"/>
  <c r="S60" i="3"/>
  <c r="S59" i="3"/>
  <c r="S58" i="3"/>
  <c r="S57" i="3"/>
  <c r="S56" i="3"/>
  <c r="S55" i="3"/>
  <c r="S54" i="3"/>
  <c r="S53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S38" i="3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</calcChain>
</file>

<file path=xl/sharedStrings.xml><?xml version="1.0" encoding="utf-8"?>
<sst xmlns="http://schemas.openxmlformats.org/spreadsheetml/2006/main" count="602" uniqueCount="260">
  <si>
    <t>Annotation workbook — one sheet per financial statement. Full rules: paper/ANNOTATION_GUIDELINE.md</t>
  </si>
  <si>
    <t>مصنف التوصيف — ورقة لكل قائمة مالية. القواعد الكاملة في دليل التوصيف.</t>
  </si>
  <si>
    <t>1. Fill the 'filing' sheet (period_end, digits, your name).</t>
  </si>
  <si>
    <t>2. On each statement sheet: type, title, PDF pages, currency and scale at the top.</t>
  </si>
  <si>
    <t>3. Row 7: each value column's header as printed; row 8: its period; row 9: its currency if it differs.</t>
  </si>
  <si>
    <t>4. One Excel row per printed table row, in printed order. kind: section / item / subtotal / total.</t>
  </si>
  <si>
    <t>5. Values exactly as printed: negatives in parentheses become minus; a printed dash is typed as -; empty stays empty.</t>
  </si>
  <si>
    <t>6. Totals: in 'sum_of' list the Excel rows it adds up (12:18 or 15,27). The check column turns green when it adds up.</t>
  </si>
  <si>
    <t xml:space="preserve">   digit by digit and sign by sign. Most drafting slips were Arabic-Indic ٥ read as ٠ (or the reverse).</t>
  </si>
  <si>
    <t>8. When the whole filing is checked, put your name in 'verified_by' on the filing sheet.</t>
  </si>
  <si>
    <t>9. Unused statement sheets: leave them empty; they are skipped.</t>
  </si>
  <si>
    <t>field</t>
  </si>
  <si>
    <t>value</t>
  </si>
  <si>
    <t>help</t>
  </si>
  <si>
    <t>filing_id</t>
  </si>
  <si>
    <t>bank_aljazira_FY2024</t>
  </si>
  <si>
    <t>do not change</t>
  </si>
  <si>
    <t>entity</t>
  </si>
  <si>
    <t>Bank AlJazira</t>
  </si>
  <si>
    <t>source_url</t>
  </si>
  <si>
    <t>https://www.saudiexchange.sa/Resources/fsPdf/329_0_2025-02-10_13-12-30_Ar.pdf</t>
  </si>
  <si>
    <t>sha256</t>
  </si>
  <si>
    <t>8086ac666d3614b45f6ef3f2d99d5cca00b9cad3a2c725d215dacc166f44074f</t>
  </si>
  <si>
    <t>fingerprint of the exact PDF annotated</t>
  </si>
  <si>
    <t>period_end</t>
  </si>
  <si>
    <t>2024-12-31</t>
  </si>
  <si>
    <t>YYYY-MM-DD, e.g. 2024-12-31</t>
  </si>
  <si>
    <t>report</t>
  </si>
  <si>
    <t>annual</t>
  </si>
  <si>
    <t>annual / interim</t>
  </si>
  <si>
    <t>consolidated</t>
  </si>
  <si>
    <t>yes</t>
  </si>
  <si>
    <t>yes / no</t>
  </si>
  <si>
    <t>digits</t>
  </si>
  <si>
    <t>arabic-indic</t>
  </si>
  <si>
    <t>arabic-indic / western / mixed — as printed</t>
  </si>
  <si>
    <t>annotator</t>
  </si>
  <si>
    <t>verified_by</t>
  </si>
  <si>
    <t>person who checked every figure against the page image</t>
  </si>
  <si>
    <t>comment</t>
  </si>
  <si>
    <t>type</t>
  </si>
  <si>
    <t>financial_position</t>
  </si>
  <si>
    <t>title_ar</t>
  </si>
  <si>
    <t>قائمة المركز المالي الموحدة</t>
  </si>
  <si>
    <t>pages</t>
  </si>
  <si>
    <t>7</t>
  </si>
  <si>
    <t>PDF page numbers, e.g. 11 or 11,12</t>
  </si>
  <si>
    <t>currency</t>
  </si>
  <si>
    <t>SAR</t>
  </si>
  <si>
    <t>scale</t>
  </si>
  <si>
    <t>1 = riyals, 1000 = thousands, 1000000 = millions (as stated on the page)</t>
  </si>
  <si>
    <t>kind</t>
  </si>
  <si>
    <t>label_ar</t>
  </si>
  <si>
    <t>notes</t>
  </si>
  <si>
    <t>2024م بآلاف الريالات السعودية</t>
  </si>
  <si>
    <t>2023م بآلاف الريالات السعودية</t>
  </si>
  <si>
    <t>sum_of (rows)</t>
  </si>
  <si>
    <t>check</t>
  </si>
  <si>
    <t>period →</t>
  </si>
  <si>
    <t>2023-12-31</t>
  </si>
  <si>
    <t>currency →</t>
  </si>
  <si>
    <t>section</t>
  </si>
  <si>
    <t>الموجودات</t>
  </si>
  <si>
    <t>item</t>
  </si>
  <si>
    <t>نقد وأرصدة لدى البنك المركزي السعودي</t>
  </si>
  <si>
    <t>4</t>
  </si>
  <si>
    <t>أرصدة لدى البنوك والمؤسسات المالية الأخرى، صافي</t>
  </si>
  <si>
    <t>5</t>
  </si>
  <si>
    <t>استثمارات، صافي</t>
  </si>
  <si>
    <t>6</t>
  </si>
  <si>
    <t>القيمة العادلة الموجبة لمشتقات متوافقة مع احكام الشريعة</t>
  </si>
  <si>
    <t>11</t>
  </si>
  <si>
    <t>تمويل، صافي</t>
  </si>
  <si>
    <t>موجودات أخرى</t>
  </si>
  <si>
    <t>8</t>
  </si>
  <si>
    <t>استثمار في شركة زميلة</t>
  </si>
  <si>
    <t>9</t>
  </si>
  <si>
    <t>عقارات أخرى، صافي</t>
  </si>
  <si>
    <t>7 (ح)</t>
  </si>
  <si>
    <t>ممتلكات والمعدات والموجودات غير ملموسة وموجودات حق الاستخدام، صافي</t>
  </si>
  <si>
    <t>10</t>
  </si>
  <si>
    <t>total</t>
  </si>
  <si>
    <t>إجمالي الموجودات</t>
  </si>
  <si>
    <t>11,12,13,14,15,16,17,18,19</t>
  </si>
  <si>
    <t>المطلوبات وحقوق الملكية</t>
  </si>
  <si>
    <t>المطلوبات</t>
  </si>
  <si>
    <t>أرصدة للبنوك والبنك المركزي السعودي والمؤسسات المالية الأخرى</t>
  </si>
  <si>
    <t>12</t>
  </si>
  <si>
    <t>ودائع العملاء</t>
  </si>
  <si>
    <t>13</t>
  </si>
  <si>
    <t>القيمة العادلة السالبة لمشتقات متوافقة مع احكام الشريعة</t>
  </si>
  <si>
    <t>صكوك مساندة</t>
  </si>
  <si>
    <t>14</t>
  </si>
  <si>
    <t>مطلوبات أخرى</t>
  </si>
  <si>
    <t>15</t>
  </si>
  <si>
    <t>إجمالي المطلوبات</t>
  </si>
  <si>
    <t>23,24,25,26,27</t>
  </si>
  <si>
    <t>حقوق الملكية</t>
  </si>
  <si>
    <t>رأس المال</t>
  </si>
  <si>
    <t>16</t>
  </si>
  <si>
    <t>احتياطي نظامي</t>
  </si>
  <si>
    <t>17</t>
  </si>
  <si>
    <t>احتياطيات أخرى</t>
  </si>
  <si>
    <t>18</t>
  </si>
  <si>
    <t>أرباح مبقاة</t>
  </si>
  <si>
    <t>subtotal</t>
  </si>
  <si>
    <t>حقوق الملكية العائدة للمساهمين العاديين في البنك</t>
  </si>
  <si>
    <t>30,31,32,33</t>
  </si>
  <si>
    <t>صكوك الشريحة الأولى</t>
  </si>
  <si>
    <t>19</t>
  </si>
  <si>
    <t>إجمالي حقوق الملكية</t>
  </si>
  <si>
    <t>34,35</t>
  </si>
  <si>
    <t>إجمالي المطلوبات وحقوق الملكية</t>
  </si>
  <si>
    <t>28,36</t>
  </si>
  <si>
    <t>income</t>
  </si>
  <si>
    <t>قائمة الدخل الموحدة</t>
  </si>
  <si>
    <t>الدخل من الاستثمارات والتمويل</t>
  </si>
  <si>
    <t>21</t>
  </si>
  <si>
    <t>العائد على الودائع والمطلوبات المالية</t>
  </si>
  <si>
    <t>صافي دخل التمويل والاستثمار</t>
  </si>
  <si>
    <t>10,11</t>
  </si>
  <si>
    <t>أتعاب خدمات بنكية - إيرادات</t>
  </si>
  <si>
    <t>22</t>
  </si>
  <si>
    <t>أتعاب خدمات بنكية - مصاريف</t>
  </si>
  <si>
    <t>أتعاب خدمات بنكية، صافي</t>
  </si>
  <si>
    <t>13,14</t>
  </si>
  <si>
    <t>دخل تحويل عملات، صافي</t>
  </si>
  <si>
    <t>صافي المكسب / (الخسارة) لأدوات مالية بالقيمة العادلة من خلال قائمة الدخل</t>
  </si>
  <si>
    <t>23</t>
  </si>
  <si>
    <t>دخل من توزيعات الأرباح</t>
  </si>
  <si>
    <t>24</t>
  </si>
  <si>
    <t>صافي المكاسب من استبعاد موجودات مالية بالقيمة العادلة من خلال الدخل الشامل الآخر – دين</t>
  </si>
  <si>
    <t>صافي (الخسارة) / المكسب من استبعاد موجودات مالية بالتكلفة المطفأة</t>
  </si>
  <si>
    <t>دخل العمليات الأخرى</t>
  </si>
  <si>
    <t>25</t>
  </si>
  <si>
    <t>إجمالي دخل العمليات</t>
  </si>
  <si>
    <t>12,15,16,17,18,19,20,21</t>
  </si>
  <si>
    <t>رواتب ومصاريف متعلقة بالموظفين</t>
  </si>
  <si>
    <t>38</t>
  </si>
  <si>
    <t>إيجارات ومصاريف متعلقة بالمباني</t>
  </si>
  <si>
    <t>استهلاك وإطفاء</t>
  </si>
  <si>
    <t>مصاريف عمومية وإدارية أخرى</t>
  </si>
  <si>
    <t>26</t>
  </si>
  <si>
    <t>مصاريف العمليات الأخرى</t>
  </si>
  <si>
    <t>إجمالي مصاريف العمليات قبل مخصص انخفاض القيمة</t>
  </si>
  <si>
    <t>مخصص الانخفاض في قيمة التمويل والموجودات المالية الأخرى، صافي</t>
  </si>
  <si>
    <t>7 (و)</t>
  </si>
  <si>
    <t>عكس انخفاض في قيمة عقارات أخرى</t>
  </si>
  <si>
    <t>-</t>
  </si>
  <si>
    <t>إجمالي مصاريف العمليات</t>
  </si>
  <si>
    <t>28,29,30</t>
  </si>
  <si>
    <t>صافي دخل العمليات</t>
  </si>
  <si>
    <t>22,-31</t>
  </si>
  <si>
    <t>حصة من صافي دخل شركة زميلة</t>
  </si>
  <si>
    <t>صافي الدخل للسنة قبل الزكاة وضريبة الدخل</t>
  </si>
  <si>
    <t>32,33</t>
  </si>
  <si>
    <t>الزكاة وضريبة الدخل:</t>
  </si>
  <si>
    <t>الزكاة</t>
  </si>
  <si>
    <t>28</t>
  </si>
  <si>
    <t>ضريبة الدخل</t>
  </si>
  <si>
    <t>صافي الدخل للسنة</t>
  </si>
  <si>
    <t>34,36,37</t>
  </si>
  <si>
    <t>ربح السهم الأساسي والمخفض (بالريال السعودي للسهم) – معدلة</t>
  </si>
  <si>
    <t>27</t>
  </si>
  <si>
    <t>riyals per share; printed with a comma as the decimal separator</t>
  </si>
  <si>
    <t>comprehensive_income</t>
  </si>
  <si>
    <t>قائمة الدخل الشامل الموحدة</t>
  </si>
  <si>
    <t>الخسارة الشاملة الأخرى:</t>
  </si>
  <si>
    <t>بنود سيتم إعادة تصنيفها إلى قائمة الدخل الموحدة في السنوات اللاحقة:</t>
  </si>
  <si>
    <t>تحوطات التدفقات النقدية:</t>
  </si>
  <si>
    <t>الجزء الفعّال من التغير في القيمة العادلة</t>
  </si>
  <si>
    <t>صافي المبلغ المعاد تصنيفه إلى قائمة الدخل الموحدة</t>
  </si>
  <si>
    <t>صافي التغيرات في القيمة العادلة لاستثمارات مصنفة بالقيمة العادلة من خلال الدخل الشامل الآخر - دين</t>
  </si>
  <si>
    <t>بنود لن يتم إعادة تصنيفها إلى قائمة الدخل الموحدة في السنوات اللاحقة:</t>
  </si>
  <si>
    <t>صافي التغيرات في القيمة العادلة لاستثمارات مصنفة بالقيمة العادلة من خلال الدخل الشامل الآخر - حقوق ملكية</t>
  </si>
  <si>
    <t>(خسائر) / مكاسب إعادة قياس التزام منافع موظفين</t>
  </si>
  <si>
    <t>حصة في الدخل الشامل الآخر لشركة زميلة</t>
  </si>
  <si>
    <t>إجمالي الخسارة الشاملة الأخرى للسنة</t>
  </si>
  <si>
    <t>14,15,16,17,18,19,20</t>
  </si>
  <si>
    <t>إجمالي الدخل الشامل للسنة</t>
  </si>
  <si>
    <t>10,21</t>
  </si>
  <si>
    <t>changes_in_equity</t>
  </si>
  <si>
    <t>قائمة التغيرات في حقوق الملكية الموحدة للسنتين المنتهيتين في 31 ديسمبر 2024م و2023م</t>
  </si>
  <si>
    <t>إجمالي حقوق المساهمين</t>
  </si>
  <si>
    <t>2024م</t>
  </si>
  <si>
    <t>الرصيد في 1 يناير 2024م</t>
  </si>
  <si>
    <t>الخسارة الشاملة الأخرى للسنة</t>
  </si>
  <si>
    <t>تحويلات إلى الأرباح المبقاة عند استبعاد استثمارات حقوق ملكية بالقيمة العادلة من خلال الدخل الشامل الآخر</t>
  </si>
  <si>
    <t>12,13,14</t>
  </si>
  <si>
    <t>اصدار أسهم منحة</t>
  </si>
  <si>
    <t>محول إلى احتياطي نظامي</t>
  </si>
  <si>
    <t>تكاليف متعلقة بصكوك الشريحة الأولى</t>
  </si>
  <si>
    <t>الرصيد في 31 ديسمبر 2024م</t>
  </si>
  <si>
    <t>11,15,16,17,18</t>
  </si>
  <si>
    <t>2023م</t>
  </si>
  <si>
    <t>الرصيد في 1 يناير 2023م</t>
  </si>
  <si>
    <t>22,23,24</t>
  </si>
  <si>
    <t>إصدار صكوك الشريحة الأولى</t>
  </si>
  <si>
    <t>تكاليف اصدار صكوك الشريحة الأولى</t>
  </si>
  <si>
    <t>الرصيد في 31 ديسمبر 2023م</t>
  </si>
  <si>
    <t>21,25,26,27,28,29</t>
  </si>
  <si>
    <t>cash_flows</t>
  </si>
  <si>
    <t>قائمة التدفقات النقدية الموحدة</t>
  </si>
  <si>
    <t>11,12</t>
  </si>
  <si>
    <t>الأنشطة التشغيلية</t>
  </si>
  <si>
    <t>التعديلات لتسوية صافي الدخل إلى صافي النقد المحقق من الأنشطة (المستخدم في) التشغيلية:</t>
  </si>
  <si>
    <t>صافي المكسب لأدوات مالية بالقيمة العادلة من خلال قائمة الدخل</t>
  </si>
  <si>
    <t>خسارة / (مكسب) لاستثمارات محتفظ بها بالتكلفة المطفأة وبالقيمة العادلة من خلال الدخل الشامل الآخر، صافي</t>
  </si>
  <si>
    <t>صافي خسارة / (مكسب) من استبعاد ممتلكات ومعدات</t>
  </si>
  <si>
    <t>مخصص التزامات منافع نهاية الخدمة</t>
  </si>
  <si>
    <t>30</t>
  </si>
  <si>
    <t>عكس مخصص الانخفاض في قيمة العقارات الأخرى</t>
  </si>
  <si>
    <t>عائد على صكوك مساندة</t>
  </si>
  <si>
    <t>الدخل التشغيلي قبل التغيرات في الموجودات والمطلوبات التشغيلية</t>
  </si>
  <si>
    <t>10,13,14,15,16,17,18,19,20,21,22</t>
  </si>
  <si>
    <t>صافي (الزيادة) / النقص في الموجودات التشغيلية:</t>
  </si>
  <si>
    <t>وديعة نظامية لدى البنك المركزي السعودي</t>
  </si>
  <si>
    <t>أرصدة لدى البنوك والمؤسسات المالية الأخرى تستحق بعد تسعين يوماً من تاريخ الاقتناء</t>
  </si>
  <si>
    <t>استثمارات بالقيمة العادلة من خلال قائمة الدخل</t>
  </si>
  <si>
    <t>القيمة العادلة الموجبة لمشتقات متوافقة مع أحكام الشريعة</t>
  </si>
  <si>
    <t>تمويل</t>
  </si>
  <si>
    <t>عقارات أخرى</t>
  </si>
  <si>
    <t>صافي الزيادة / (النقص) في المطلوبات التشغيلية:</t>
  </si>
  <si>
    <t>أرصدة للبنوك والمؤسسات المالية الأخرى</t>
  </si>
  <si>
    <t>القيمة العادلة السالبة لمشتقات متوافقة مع أحكام الشريعة</t>
  </si>
  <si>
    <t>23,25,26,27,28,29,30,31,33,34,35,36</t>
  </si>
  <si>
    <t>زكاة وضريبة دخل مدفوعة</t>
  </si>
  <si>
    <t>منافع نهاية الخدمة المدفوعة</t>
  </si>
  <si>
    <t>صافي النقد المحقق من / (المستخدم في) الأنشطة التشغيلية</t>
  </si>
  <si>
    <t>37,38,39</t>
  </si>
  <si>
    <t>الأنشطة الاستثمارية</t>
  </si>
  <si>
    <t>متحصلات من بيع واستحقاق استثمارات محتفظ بها بالتكلفة المطفأة وبالقيمة العادلة من خلال الدخل الشامل الآخر</t>
  </si>
  <si>
    <t>شراء استثمارات محتفظ بها بالتكلفة المطفأة وبالقيمة العادلة من خلال الدخل الشامل الآخر</t>
  </si>
  <si>
    <t>توزيعات أرباح مستلمة</t>
  </si>
  <si>
    <t>استثمار إضافي في شركة زميلة</t>
  </si>
  <si>
    <t>توزيعات أرباح من شركة زميلة</t>
  </si>
  <si>
    <t>شراء ممتلكات ومعدات</t>
  </si>
  <si>
    <t>متحصلات من بيع ممتلكات ومعدات</t>
  </si>
  <si>
    <t>صافي النقد (المستخدم في) / المحقق من الأنشطة الاستثمارية</t>
  </si>
  <si>
    <t>42,43,44,45,46,47,48</t>
  </si>
  <si>
    <t>الأنشطة التمويلية</t>
  </si>
  <si>
    <t>سداد تكاليف معاملات متعلقة بصكوك</t>
  </si>
  <si>
    <t>سداد العائد على صكوك الشريحة الأولى والشريحة الثانية</t>
  </si>
  <si>
    <t>توزيعات أرباح مدفوعة</t>
  </si>
  <si>
    <t>سداد جزء رئيسي من التزامات عقود إيجار</t>
  </si>
  <si>
    <t>صافي النقد (المستخدم في) / المحقق من الأنشطة التمويلية</t>
  </si>
  <si>
    <t>51,52,53,54,55</t>
  </si>
  <si>
    <t>صافي التغير في النقد وما في حكمه</t>
  </si>
  <si>
    <t>40,49,56</t>
  </si>
  <si>
    <t>النقد وما في حكمه في بداية السنة</t>
  </si>
  <si>
    <t>النقد وما في حكمه في نهاية السنة</t>
  </si>
  <si>
    <t>29</t>
  </si>
  <si>
    <t>57,58</t>
  </si>
  <si>
    <t>دخل من استثمارات وتمويل مستلم خلال السنة</t>
  </si>
  <si>
    <t>العائد على الودائع والمطلوبات المالية المدفوعة خلال السنة</t>
  </si>
  <si>
    <t>معلومات إضافية غير نقدية</t>
  </si>
  <si>
    <t>صافي التغيرات في القيمة العادلة لتحوطات التدفقات النقدية والمبالغ المحولة إلى قائمة الدخل الموحدة</t>
  </si>
  <si>
    <t>bushra</t>
  </si>
  <si>
    <t>abdulaziz</t>
  </si>
  <si>
    <t>who drafted the figures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</si>
</sst>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64298"/>
      </patternFill>
    </fill>
    <fill>
      <patternFill patternType="solid">
        <fgColor rgb="FFE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0" fillId="3" borderId="0" xfId="0" applyFill="1"/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10">
    <dxf>
      <fill>
        <patternFill patternType="solid">
          <fgColor rgb="FFCDEBD3"/>
        </patternFill>
      </fill>
    </dxf>
    <dxf>
      <fill>
        <patternFill patternType="solid">
          <fgColor rgb="FFF4C7C3"/>
        </patternFill>
      </fill>
    </dxf>
    <dxf>
      <fill>
        <patternFill patternType="solid">
          <fgColor rgb="FFCDEBD3"/>
        </patternFill>
      </fill>
    </dxf>
    <dxf>
      <fill>
        <patternFill patternType="solid">
          <fgColor rgb="FFF4C7C3"/>
        </patternFill>
      </fill>
    </dxf>
    <dxf>
      <fill>
        <patternFill patternType="solid">
          <fgColor rgb="FFCDEBD3"/>
        </patternFill>
      </fill>
    </dxf>
    <dxf>
      <fill>
        <patternFill patternType="solid">
          <fgColor rgb="FFF4C7C3"/>
        </patternFill>
      </fill>
    </dxf>
    <dxf>
      <fill>
        <patternFill patternType="solid">
          <fgColor rgb="FFCDEBD3"/>
        </patternFill>
      </fill>
    </dxf>
    <dxf>
      <fill>
        <patternFill patternType="solid">
          <fgColor rgb="FFF4C7C3"/>
        </patternFill>
      </fill>
    </dxf>
    <dxf>
      <fill>
        <patternFill patternType="solid">
          <fgColor rgb="FFCDEBD3"/>
        </patternFill>
      </fill>
    </dxf>
    <dxf>
      <fill>
        <patternFill patternType="solid">
          <fgColor rgb="FFF4C7C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rightToLeft="1" tabSelected="1" workbookViewId="0">
      <selection activeCell="A4" sqref="A4"/>
    </sheetView>
  </sheetViews>
  <sheetFormatPr baseColWidth="10" defaultColWidth="8.83203125" defaultRowHeight="15" x14ac:dyDescent="0.2"/>
  <cols>
    <col min="1" max="1" width="120" customWidth="1"/>
  </cols>
  <sheetData>
    <row r="1" spans="1:1" ht="16" x14ac:dyDescent="0.2">
      <c r="A1" s="1" t="s">
        <v>0</v>
      </c>
    </row>
    <row r="2" spans="1:1" x14ac:dyDescent="0.2">
      <c r="A2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1" spans="1:1" x14ac:dyDescent="0.2">
      <c r="A11" t="s">
        <v>8</v>
      </c>
    </row>
    <row r="12" spans="1:1" x14ac:dyDescent="0.2">
      <c r="A12" t="s">
        <v>9</v>
      </c>
    </row>
    <row r="13" spans="1:1" x14ac:dyDescent="0.2">
      <c r="A13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rightToLeft="1" workbookViewId="0">
      <selection activeCell="C11" sqref="C11"/>
    </sheetView>
  </sheetViews>
  <sheetFormatPr baseColWidth="10" defaultColWidth="8.83203125" defaultRowHeight="15" x14ac:dyDescent="0.2"/>
  <cols>
    <col min="1" max="1" width="16" customWidth="1"/>
    <col min="2" max="2" width="70" customWidth="1"/>
    <col min="3" max="3" width="44" customWidth="1"/>
  </cols>
  <sheetData>
    <row r="1" spans="1:3" x14ac:dyDescent="0.2">
      <c r="A1" s="2" t="s">
        <v>11</v>
      </c>
      <c r="B1" s="2" t="s">
        <v>12</v>
      </c>
      <c r="C1" s="2" t="s">
        <v>13</v>
      </c>
    </row>
    <row r="2" spans="1:3" x14ac:dyDescent="0.2">
      <c r="A2" t="s">
        <v>14</v>
      </c>
      <c r="B2" t="s">
        <v>15</v>
      </c>
      <c r="C2" t="s">
        <v>16</v>
      </c>
    </row>
    <row r="3" spans="1:3" x14ac:dyDescent="0.2">
      <c r="A3" t="s">
        <v>17</v>
      </c>
      <c r="B3" t="s">
        <v>18</v>
      </c>
    </row>
    <row r="4" spans="1:3" x14ac:dyDescent="0.2">
      <c r="A4" t="s">
        <v>19</v>
      </c>
      <c r="B4" t="s">
        <v>20</v>
      </c>
    </row>
    <row r="5" spans="1:3" x14ac:dyDescent="0.2">
      <c r="A5" t="s">
        <v>21</v>
      </c>
      <c r="B5" t="s">
        <v>22</v>
      </c>
      <c r="C5" t="s">
        <v>23</v>
      </c>
    </row>
    <row r="6" spans="1:3" x14ac:dyDescent="0.2">
      <c r="A6" t="s">
        <v>24</v>
      </c>
      <c r="B6" t="s">
        <v>25</v>
      </c>
      <c r="C6" t="s">
        <v>26</v>
      </c>
    </row>
    <row r="7" spans="1:3" x14ac:dyDescent="0.2">
      <c r="A7" t="s">
        <v>27</v>
      </c>
      <c r="B7" t="s">
        <v>28</v>
      </c>
      <c r="C7" t="s">
        <v>29</v>
      </c>
    </row>
    <row r="8" spans="1:3" x14ac:dyDescent="0.2">
      <c r="A8" t="s">
        <v>30</v>
      </c>
      <c r="B8" t="s">
        <v>31</v>
      </c>
      <c r="C8" t="s">
        <v>32</v>
      </c>
    </row>
    <row r="9" spans="1:3" x14ac:dyDescent="0.2">
      <c r="A9" t="s">
        <v>33</v>
      </c>
      <c r="B9" t="s">
        <v>34</v>
      </c>
      <c r="C9" t="s">
        <v>35</v>
      </c>
    </row>
    <row r="10" spans="1:3" x14ac:dyDescent="0.2">
      <c r="A10" t="s">
        <v>36</v>
      </c>
      <c r="B10" t="s">
        <v>257</v>
      </c>
      <c r="C10" t="s">
        <v>259</v>
      </c>
    </row>
    <row r="11" spans="1:3" x14ac:dyDescent="0.2">
      <c r="A11" t="s">
        <v>37</v>
      </c>
      <c r="B11" t="s">
        <v>258</v>
      </c>
      <c r="C11" t="s">
        <v>38</v>
      </c>
    </row>
    <row r="12" spans="1:3" x14ac:dyDescent="0.2">
      <c r="A12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09"/>
  <sheetViews>
    <sheetView rightToLeft="1" workbookViewId="0">
      <pane xSplit="3" ySplit="9" topLeftCell="D11" activePane="bottomRight" state="frozen"/>
      <selection pane="topRight"/>
      <selection pane="bottomLeft"/>
      <selection pane="bottomRight" activeCell="C11" sqref="C11"/>
    </sheetView>
  </sheetViews>
  <sheetFormatPr baseColWidth="10" defaultColWidth="8.83203125" defaultRowHeight="15" x14ac:dyDescent="0.2"/>
  <cols>
    <col min="1" max="1" width="10" customWidth="1"/>
    <col min="2" max="2" width="52" customWidth="1"/>
    <col min="3" max="3" width="9" customWidth="1"/>
    <col min="4" max="17" width="16" customWidth="1"/>
    <col min="18" max="18" width="14" customWidth="1"/>
    <col min="19" max="19" width="7" customWidth="1"/>
    <col min="20" max="20" width="30" customWidth="1"/>
  </cols>
  <sheetData>
    <row r="1" spans="1:20" x14ac:dyDescent="0.2">
      <c r="A1" s="3" t="s">
        <v>40</v>
      </c>
      <c r="B1" s="4" t="s">
        <v>41</v>
      </c>
    </row>
    <row r="2" spans="1:20" x14ac:dyDescent="0.2">
      <c r="A2" s="3" t="s">
        <v>42</v>
      </c>
      <c r="B2" s="4" t="s">
        <v>43</v>
      </c>
    </row>
    <row r="3" spans="1:20" x14ac:dyDescent="0.2">
      <c r="A3" s="3" t="s">
        <v>44</v>
      </c>
      <c r="B3" s="4" t="s">
        <v>45</v>
      </c>
      <c r="C3" t="s">
        <v>46</v>
      </c>
    </row>
    <row r="4" spans="1:20" x14ac:dyDescent="0.2">
      <c r="A4" s="3" t="s">
        <v>47</v>
      </c>
      <c r="B4" s="4" t="s">
        <v>48</v>
      </c>
    </row>
    <row r="5" spans="1:20" x14ac:dyDescent="0.2">
      <c r="A5" s="3" t="s">
        <v>49</v>
      </c>
      <c r="B5" s="4">
        <v>1000</v>
      </c>
      <c r="C5" t="s">
        <v>50</v>
      </c>
    </row>
    <row r="7" spans="1:20" ht="32" x14ac:dyDescent="0.2">
      <c r="A7" s="5" t="s">
        <v>51</v>
      </c>
      <c r="B7" s="5" t="s">
        <v>52</v>
      </c>
      <c r="C7" s="5" t="s">
        <v>53</v>
      </c>
      <c r="D7" s="5" t="s">
        <v>54</v>
      </c>
      <c r="E7" s="5" t="s">
        <v>55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 t="s">
        <v>56</v>
      </c>
      <c r="S7" s="5" t="s">
        <v>57</v>
      </c>
      <c r="T7" s="5" t="s">
        <v>39</v>
      </c>
    </row>
    <row r="8" spans="1:20" x14ac:dyDescent="0.2">
      <c r="C8" t="s">
        <v>58</v>
      </c>
      <c r="D8" s="4" t="s">
        <v>25</v>
      </c>
      <c r="E8" s="4" t="s">
        <v>59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20" x14ac:dyDescent="0.2">
      <c r="C9" t="s">
        <v>60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20" x14ac:dyDescent="0.2">
      <c r="A10" t="s">
        <v>61</v>
      </c>
      <c r="B10" t="s">
        <v>62</v>
      </c>
      <c r="S10" t="str">
        <f t="shared" ref="S10:S41" ca="1" si="0"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 spans="1:20" x14ac:dyDescent="0.2">
      <c r="A11" t="s">
        <v>63</v>
      </c>
      <c r="B11" t="s">
        <v>64</v>
      </c>
      <c r="C11" t="s">
        <v>65</v>
      </c>
      <c r="D11">
        <v>6118369</v>
      </c>
      <c r="E11">
        <v>5840693</v>
      </c>
      <c r="S11" t="str">
        <f t="shared" ca="1" si="0"/>
        <v/>
      </c>
    </row>
    <row r="12" spans="1:20" x14ac:dyDescent="0.2">
      <c r="A12" t="s">
        <v>63</v>
      </c>
      <c r="B12" t="s">
        <v>66</v>
      </c>
      <c r="C12" t="s">
        <v>67</v>
      </c>
      <c r="D12">
        <v>6697117</v>
      </c>
      <c r="E12">
        <v>5691774</v>
      </c>
      <c r="S12" t="str">
        <f t="shared" ca="1" si="0"/>
        <v/>
      </c>
    </row>
    <row r="13" spans="1:20" x14ac:dyDescent="0.2">
      <c r="A13" t="s">
        <v>63</v>
      </c>
      <c r="B13" t="s">
        <v>68</v>
      </c>
      <c r="C13" t="s">
        <v>69</v>
      </c>
      <c r="D13">
        <v>36193723</v>
      </c>
      <c r="E13">
        <v>34442290</v>
      </c>
      <c r="S13" t="str">
        <f t="shared" ca="1" si="0"/>
        <v/>
      </c>
    </row>
    <row r="14" spans="1:20" x14ac:dyDescent="0.2">
      <c r="A14" t="s">
        <v>63</v>
      </c>
      <c r="B14" t="s">
        <v>70</v>
      </c>
      <c r="C14" t="s">
        <v>71</v>
      </c>
      <c r="D14">
        <v>151737</v>
      </c>
      <c r="E14">
        <v>222508</v>
      </c>
      <c r="S14" t="str">
        <f t="shared" ca="1" si="0"/>
        <v/>
      </c>
    </row>
    <row r="15" spans="1:20" x14ac:dyDescent="0.2">
      <c r="A15" t="s">
        <v>63</v>
      </c>
      <c r="B15" t="s">
        <v>72</v>
      </c>
      <c r="C15" t="s">
        <v>45</v>
      </c>
      <c r="D15">
        <v>96912496</v>
      </c>
      <c r="E15">
        <v>80780901</v>
      </c>
      <c r="S15" t="str">
        <f t="shared" ca="1" si="0"/>
        <v/>
      </c>
    </row>
    <row r="16" spans="1:20" x14ac:dyDescent="0.2">
      <c r="A16" t="s">
        <v>63</v>
      </c>
      <c r="B16" t="s">
        <v>73</v>
      </c>
      <c r="C16" t="s">
        <v>74</v>
      </c>
      <c r="D16">
        <v>1111117</v>
      </c>
      <c r="E16">
        <v>719449</v>
      </c>
      <c r="S16" t="str">
        <f t="shared" ca="1" si="0"/>
        <v/>
      </c>
    </row>
    <row r="17" spans="1:19" x14ac:dyDescent="0.2">
      <c r="A17" t="s">
        <v>63</v>
      </c>
      <c r="B17" t="s">
        <v>75</v>
      </c>
      <c r="C17" t="s">
        <v>76</v>
      </c>
      <c r="D17">
        <v>323716</v>
      </c>
      <c r="E17">
        <v>243011</v>
      </c>
      <c r="S17" t="str">
        <f t="shared" ca="1" si="0"/>
        <v/>
      </c>
    </row>
    <row r="18" spans="1:19" x14ac:dyDescent="0.2">
      <c r="A18" t="s">
        <v>63</v>
      </c>
      <c r="B18" t="s">
        <v>77</v>
      </c>
      <c r="C18" t="s">
        <v>78</v>
      </c>
      <c r="D18">
        <v>139717</v>
      </c>
      <c r="E18">
        <v>498986</v>
      </c>
      <c r="S18" t="str">
        <f t="shared" ca="1" si="0"/>
        <v/>
      </c>
    </row>
    <row r="19" spans="1:19" x14ac:dyDescent="0.2">
      <c r="A19" t="s">
        <v>63</v>
      </c>
      <c r="B19" t="s">
        <v>79</v>
      </c>
      <c r="C19" t="s">
        <v>80</v>
      </c>
      <c r="D19">
        <v>1258076</v>
      </c>
      <c r="E19">
        <v>1111165</v>
      </c>
      <c r="S19" t="str">
        <f t="shared" ca="1" si="0"/>
        <v/>
      </c>
    </row>
    <row r="20" spans="1:19" x14ac:dyDescent="0.2">
      <c r="A20" t="s">
        <v>81</v>
      </c>
      <c r="B20" t="s">
        <v>82</v>
      </c>
      <c r="D20">
        <v>148906068</v>
      </c>
      <c r="E20">
        <v>129550777</v>
      </c>
      <c r="R20" t="s">
        <v>83</v>
      </c>
      <c r="S20" t="str">
        <f t="shared" ca="1" si="0"/>
        <v>✓</v>
      </c>
    </row>
    <row r="21" spans="1:19" x14ac:dyDescent="0.2">
      <c r="A21" t="s">
        <v>61</v>
      </c>
      <c r="B21" t="s">
        <v>84</v>
      </c>
      <c r="S21" t="str">
        <f t="shared" ca="1" si="0"/>
        <v/>
      </c>
    </row>
    <row r="22" spans="1:19" x14ac:dyDescent="0.2">
      <c r="A22" t="s">
        <v>61</v>
      </c>
      <c r="B22" t="s">
        <v>85</v>
      </c>
      <c r="S22" t="str">
        <f t="shared" ca="1" si="0"/>
        <v/>
      </c>
    </row>
    <row r="23" spans="1:19" x14ac:dyDescent="0.2">
      <c r="A23" t="s">
        <v>63</v>
      </c>
      <c r="B23" t="s">
        <v>86</v>
      </c>
      <c r="C23" t="s">
        <v>87</v>
      </c>
      <c r="D23">
        <v>19309333</v>
      </c>
      <c r="E23">
        <v>14985733</v>
      </c>
      <c r="S23" t="str">
        <f t="shared" ca="1" si="0"/>
        <v/>
      </c>
    </row>
    <row r="24" spans="1:19" x14ac:dyDescent="0.2">
      <c r="A24" t="s">
        <v>63</v>
      </c>
      <c r="B24" t="s">
        <v>88</v>
      </c>
      <c r="C24" t="s">
        <v>89</v>
      </c>
      <c r="D24">
        <v>108186514</v>
      </c>
      <c r="E24">
        <v>94054401</v>
      </c>
      <c r="S24" t="str">
        <f t="shared" ca="1" si="0"/>
        <v/>
      </c>
    </row>
    <row r="25" spans="1:19" x14ac:dyDescent="0.2">
      <c r="A25" t="s">
        <v>63</v>
      </c>
      <c r="B25" t="s">
        <v>90</v>
      </c>
      <c r="C25" t="s">
        <v>71</v>
      </c>
      <c r="D25">
        <v>164999</v>
      </c>
      <c r="E25">
        <v>147061</v>
      </c>
      <c r="S25" t="str">
        <f t="shared" ca="1" si="0"/>
        <v/>
      </c>
    </row>
    <row r="26" spans="1:19" x14ac:dyDescent="0.2">
      <c r="A26" t="s">
        <v>63</v>
      </c>
      <c r="B26" t="s">
        <v>91</v>
      </c>
      <c r="C26" t="s">
        <v>92</v>
      </c>
      <c r="D26">
        <v>2005918</v>
      </c>
      <c r="E26">
        <v>2004346</v>
      </c>
      <c r="S26" t="str">
        <f t="shared" ca="1" si="0"/>
        <v/>
      </c>
    </row>
    <row r="27" spans="1:19" x14ac:dyDescent="0.2">
      <c r="A27" t="s">
        <v>63</v>
      </c>
      <c r="B27" t="s">
        <v>93</v>
      </c>
      <c r="C27" t="s">
        <v>94</v>
      </c>
      <c r="D27">
        <v>2037607</v>
      </c>
      <c r="E27">
        <v>1943742</v>
      </c>
      <c r="S27" t="str">
        <f t="shared" ca="1" si="0"/>
        <v/>
      </c>
    </row>
    <row r="28" spans="1:19" x14ac:dyDescent="0.2">
      <c r="A28" t="s">
        <v>81</v>
      </c>
      <c r="B28" t="s">
        <v>95</v>
      </c>
      <c r="D28">
        <v>131704371</v>
      </c>
      <c r="E28">
        <v>113135283</v>
      </c>
      <c r="R28" t="s">
        <v>96</v>
      </c>
      <c r="S28" t="str">
        <f t="shared" ca="1" si="0"/>
        <v>✓</v>
      </c>
    </row>
    <row r="29" spans="1:19" x14ac:dyDescent="0.2">
      <c r="A29" t="s">
        <v>61</v>
      </c>
      <c r="B29" t="s">
        <v>97</v>
      </c>
      <c r="S29" t="str">
        <f t="shared" ca="1" si="0"/>
        <v/>
      </c>
    </row>
    <row r="30" spans="1:19" x14ac:dyDescent="0.2">
      <c r="A30" t="s">
        <v>63</v>
      </c>
      <c r="B30" t="s">
        <v>98</v>
      </c>
      <c r="C30" t="s">
        <v>99</v>
      </c>
      <c r="D30">
        <v>10250000</v>
      </c>
      <c r="E30">
        <v>8200000</v>
      </c>
      <c r="S30" t="str">
        <f t="shared" ca="1" si="0"/>
        <v/>
      </c>
    </row>
    <row r="31" spans="1:19" x14ac:dyDescent="0.2">
      <c r="A31" t="s">
        <v>63</v>
      </c>
      <c r="B31" t="s">
        <v>100</v>
      </c>
      <c r="C31" t="s">
        <v>101</v>
      </c>
      <c r="D31">
        <v>1707276</v>
      </c>
      <c r="E31">
        <v>3449537</v>
      </c>
      <c r="S31" t="str">
        <f t="shared" ca="1" si="0"/>
        <v/>
      </c>
    </row>
    <row r="32" spans="1:19" x14ac:dyDescent="0.2">
      <c r="A32" t="s">
        <v>63</v>
      </c>
      <c r="B32" t="s">
        <v>102</v>
      </c>
      <c r="C32" t="s">
        <v>103</v>
      </c>
      <c r="D32">
        <v>-1093466</v>
      </c>
      <c r="E32">
        <v>-844399</v>
      </c>
      <c r="S32" t="str">
        <f t="shared" ca="1" si="0"/>
        <v/>
      </c>
    </row>
    <row r="33" spans="1:19" x14ac:dyDescent="0.2">
      <c r="A33" t="s">
        <v>63</v>
      </c>
      <c r="B33" t="s">
        <v>104</v>
      </c>
      <c r="D33">
        <v>2462887</v>
      </c>
      <c r="E33">
        <v>1735356</v>
      </c>
      <c r="S33" t="str">
        <f t="shared" ca="1" si="0"/>
        <v/>
      </c>
    </row>
    <row r="34" spans="1:19" x14ac:dyDescent="0.2">
      <c r="A34" t="s">
        <v>105</v>
      </c>
      <c r="B34" t="s">
        <v>106</v>
      </c>
      <c r="D34">
        <v>13326697</v>
      </c>
      <c r="E34">
        <v>12540494</v>
      </c>
      <c r="R34" t="s">
        <v>107</v>
      </c>
      <c r="S34" t="str">
        <f t="shared" ca="1" si="0"/>
        <v>✓</v>
      </c>
    </row>
    <row r="35" spans="1:19" x14ac:dyDescent="0.2">
      <c r="A35" t="s">
        <v>63</v>
      </c>
      <c r="B35" t="s">
        <v>108</v>
      </c>
      <c r="C35" t="s">
        <v>109</v>
      </c>
      <c r="D35">
        <v>3875000</v>
      </c>
      <c r="E35">
        <v>3875000</v>
      </c>
      <c r="S35" t="str">
        <f t="shared" ca="1" si="0"/>
        <v/>
      </c>
    </row>
    <row r="36" spans="1:19" x14ac:dyDescent="0.2">
      <c r="A36" t="s">
        <v>81</v>
      </c>
      <c r="B36" t="s">
        <v>110</v>
      </c>
      <c r="D36">
        <v>17201697</v>
      </c>
      <c r="E36">
        <v>16415494</v>
      </c>
      <c r="R36" t="s">
        <v>111</v>
      </c>
      <c r="S36" t="str">
        <f t="shared" ca="1" si="0"/>
        <v>✓</v>
      </c>
    </row>
    <row r="37" spans="1:19" x14ac:dyDescent="0.2">
      <c r="A37" t="s">
        <v>81</v>
      </c>
      <c r="B37" t="s">
        <v>112</v>
      </c>
      <c r="D37">
        <v>148906068</v>
      </c>
      <c r="E37">
        <v>129550777</v>
      </c>
      <c r="R37" t="s">
        <v>113</v>
      </c>
      <c r="S37" t="str">
        <f t="shared" ca="1" si="0"/>
        <v>✓</v>
      </c>
    </row>
    <row r="38" spans="1:19" x14ac:dyDescent="0.2">
      <c r="S38" t="str">
        <f t="shared" ca="1" si="0"/>
        <v/>
      </c>
    </row>
    <row r="39" spans="1:19" x14ac:dyDescent="0.2">
      <c r="S39" t="str">
        <f t="shared" ca="1" si="0"/>
        <v/>
      </c>
    </row>
    <row r="40" spans="1:19" x14ac:dyDescent="0.2">
      <c r="S40" t="str">
        <f t="shared" ca="1" si="0"/>
        <v/>
      </c>
    </row>
    <row r="41" spans="1:19" x14ac:dyDescent="0.2">
      <c r="S41" t="str">
        <f t="shared" ca="1" si="0"/>
        <v/>
      </c>
    </row>
    <row r="42" spans="1:19" x14ac:dyDescent="0.2">
      <c r="S42" t="str">
        <f t="shared" ref="S42:S73" ca="1" si="1"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 spans="1:19" x14ac:dyDescent="0.2">
      <c r="S43" t="str">
        <f t="shared" ca="1" si="1"/>
        <v/>
      </c>
    </row>
    <row r="44" spans="1:19" x14ac:dyDescent="0.2">
      <c r="S44" t="str">
        <f t="shared" ca="1" si="1"/>
        <v/>
      </c>
    </row>
    <row r="45" spans="1:19" x14ac:dyDescent="0.2">
      <c r="S45" t="str">
        <f t="shared" ca="1" si="1"/>
        <v/>
      </c>
    </row>
    <row r="46" spans="1:19" x14ac:dyDescent="0.2">
      <c r="S46" t="str">
        <f t="shared" ca="1" si="1"/>
        <v/>
      </c>
    </row>
    <row r="47" spans="1:19" x14ac:dyDescent="0.2">
      <c r="S47" t="str">
        <f t="shared" ca="1" si="1"/>
        <v/>
      </c>
    </row>
    <row r="48" spans="1:19" x14ac:dyDescent="0.2">
      <c r="S48" t="str">
        <f t="shared" ca="1" si="1"/>
        <v/>
      </c>
    </row>
    <row r="49" spans="19:19" x14ac:dyDescent="0.2">
      <c r="S49" t="str">
        <f t="shared" ca="1" si="1"/>
        <v/>
      </c>
    </row>
    <row r="50" spans="19:19" x14ac:dyDescent="0.2">
      <c r="S50" t="str">
        <f t="shared" ca="1" si="1"/>
        <v/>
      </c>
    </row>
    <row r="51" spans="19:19" x14ac:dyDescent="0.2">
      <c r="S51" t="str">
        <f t="shared" ca="1" si="1"/>
        <v/>
      </c>
    </row>
    <row r="52" spans="19:19" x14ac:dyDescent="0.2">
      <c r="S52" t="str">
        <f t="shared" ca="1" si="1"/>
        <v/>
      </c>
    </row>
    <row r="53" spans="19:19" x14ac:dyDescent="0.2">
      <c r="S53" t="str">
        <f t="shared" ca="1" si="1"/>
        <v/>
      </c>
    </row>
    <row r="54" spans="19:19" x14ac:dyDescent="0.2">
      <c r="S54" t="str">
        <f t="shared" ca="1" si="1"/>
        <v/>
      </c>
    </row>
    <row r="55" spans="19:19" x14ac:dyDescent="0.2">
      <c r="S55" t="str">
        <f t="shared" ca="1" si="1"/>
        <v/>
      </c>
    </row>
    <row r="56" spans="19:19" x14ac:dyDescent="0.2">
      <c r="S56" t="str">
        <f t="shared" ca="1" si="1"/>
        <v/>
      </c>
    </row>
    <row r="57" spans="19:19" x14ac:dyDescent="0.2">
      <c r="S57" t="str">
        <f t="shared" ca="1" si="1"/>
        <v/>
      </c>
    </row>
    <row r="58" spans="19:19" x14ac:dyDescent="0.2">
      <c r="S58" t="str">
        <f t="shared" ca="1" si="1"/>
        <v/>
      </c>
    </row>
    <row r="59" spans="19:19" x14ac:dyDescent="0.2">
      <c r="S59" t="str">
        <f t="shared" ca="1" si="1"/>
        <v/>
      </c>
    </row>
    <row r="60" spans="19:19" x14ac:dyDescent="0.2">
      <c r="S60" t="str">
        <f t="shared" ca="1" si="1"/>
        <v/>
      </c>
    </row>
    <row r="61" spans="19:19" x14ac:dyDescent="0.2">
      <c r="S61" t="str">
        <f t="shared" ca="1" si="1"/>
        <v/>
      </c>
    </row>
    <row r="62" spans="19:19" x14ac:dyDescent="0.2">
      <c r="S62" t="str">
        <f t="shared" ca="1" si="1"/>
        <v/>
      </c>
    </row>
    <row r="63" spans="19:19" x14ac:dyDescent="0.2">
      <c r="S63" t="str">
        <f t="shared" ca="1" si="1"/>
        <v/>
      </c>
    </row>
    <row r="64" spans="19:19" x14ac:dyDescent="0.2">
      <c r="S64" t="str">
        <f t="shared" ca="1" si="1"/>
        <v/>
      </c>
    </row>
    <row r="65" spans="19:19" x14ac:dyDescent="0.2">
      <c r="S65" t="str">
        <f t="shared" ca="1" si="1"/>
        <v/>
      </c>
    </row>
    <row r="66" spans="19:19" x14ac:dyDescent="0.2">
      <c r="S66" t="str">
        <f t="shared" ca="1" si="1"/>
        <v/>
      </c>
    </row>
    <row r="67" spans="19:19" x14ac:dyDescent="0.2">
      <c r="S67" t="str">
        <f t="shared" ca="1" si="1"/>
        <v/>
      </c>
    </row>
    <row r="68" spans="19:19" x14ac:dyDescent="0.2">
      <c r="S68" t="str">
        <f t="shared" ca="1" si="1"/>
        <v/>
      </c>
    </row>
    <row r="69" spans="19:19" x14ac:dyDescent="0.2">
      <c r="S69" t="str">
        <f t="shared" ca="1" si="1"/>
        <v/>
      </c>
    </row>
    <row r="70" spans="19:19" x14ac:dyDescent="0.2">
      <c r="S70" t="str">
        <f t="shared" ca="1" si="1"/>
        <v/>
      </c>
    </row>
    <row r="71" spans="19:19" x14ac:dyDescent="0.2">
      <c r="S71" t="str">
        <f t="shared" ca="1" si="1"/>
        <v/>
      </c>
    </row>
    <row r="72" spans="19:19" x14ac:dyDescent="0.2">
      <c r="S72" t="str">
        <f t="shared" ca="1" si="1"/>
        <v/>
      </c>
    </row>
    <row r="73" spans="19:19" x14ac:dyDescent="0.2">
      <c r="S73" t="str">
        <f t="shared" ca="1" si="1"/>
        <v/>
      </c>
    </row>
    <row r="74" spans="19:19" x14ac:dyDescent="0.2">
      <c r="S74" t="str">
        <f t="shared" ref="S74:S105" ca="1" si="2"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 spans="19:19" x14ac:dyDescent="0.2">
      <c r="S75" t="str">
        <f t="shared" ca="1" si="2"/>
        <v/>
      </c>
    </row>
    <row r="76" spans="19:19" x14ac:dyDescent="0.2">
      <c r="S76" t="str">
        <f t="shared" ca="1" si="2"/>
        <v/>
      </c>
    </row>
    <row r="77" spans="19:19" x14ac:dyDescent="0.2">
      <c r="S77" t="str">
        <f t="shared" ca="1" si="2"/>
        <v/>
      </c>
    </row>
    <row r="78" spans="19:19" x14ac:dyDescent="0.2">
      <c r="S78" t="str">
        <f t="shared" ca="1" si="2"/>
        <v/>
      </c>
    </row>
    <row r="79" spans="19:19" x14ac:dyDescent="0.2">
      <c r="S79" t="str">
        <f t="shared" ca="1" si="2"/>
        <v/>
      </c>
    </row>
    <row r="80" spans="19:19" x14ac:dyDescent="0.2">
      <c r="S80" t="str">
        <f t="shared" ca="1" si="2"/>
        <v/>
      </c>
    </row>
    <row r="81" spans="19:19" x14ac:dyDescent="0.2">
      <c r="S81" t="str">
        <f t="shared" ca="1" si="2"/>
        <v/>
      </c>
    </row>
    <row r="82" spans="19:19" x14ac:dyDescent="0.2">
      <c r="S82" t="str">
        <f t="shared" ca="1" si="2"/>
        <v/>
      </c>
    </row>
    <row r="83" spans="19:19" x14ac:dyDescent="0.2">
      <c r="S83" t="str">
        <f t="shared" ca="1" si="2"/>
        <v/>
      </c>
    </row>
    <row r="84" spans="19:19" x14ac:dyDescent="0.2">
      <c r="S84" t="str">
        <f t="shared" ca="1" si="2"/>
        <v/>
      </c>
    </row>
    <row r="85" spans="19:19" x14ac:dyDescent="0.2">
      <c r="S85" t="str">
        <f t="shared" ca="1" si="2"/>
        <v/>
      </c>
    </row>
    <row r="86" spans="19:19" x14ac:dyDescent="0.2">
      <c r="S86" t="str">
        <f t="shared" ca="1" si="2"/>
        <v/>
      </c>
    </row>
    <row r="87" spans="19:19" x14ac:dyDescent="0.2">
      <c r="S87" t="str">
        <f t="shared" ca="1" si="2"/>
        <v/>
      </c>
    </row>
    <row r="88" spans="19:19" x14ac:dyDescent="0.2">
      <c r="S88" t="str">
        <f t="shared" ca="1" si="2"/>
        <v/>
      </c>
    </row>
    <row r="89" spans="19:19" x14ac:dyDescent="0.2">
      <c r="S89" t="str">
        <f t="shared" ca="1" si="2"/>
        <v/>
      </c>
    </row>
    <row r="90" spans="19:19" x14ac:dyDescent="0.2">
      <c r="S90" t="str">
        <f t="shared" ca="1" si="2"/>
        <v/>
      </c>
    </row>
    <row r="91" spans="19:19" x14ac:dyDescent="0.2">
      <c r="S91" t="str">
        <f t="shared" ca="1" si="2"/>
        <v/>
      </c>
    </row>
    <row r="92" spans="19:19" x14ac:dyDescent="0.2">
      <c r="S92" t="str">
        <f t="shared" ca="1" si="2"/>
        <v/>
      </c>
    </row>
    <row r="93" spans="19:19" x14ac:dyDescent="0.2">
      <c r="S93" t="str">
        <f t="shared" ca="1" si="2"/>
        <v/>
      </c>
    </row>
    <row r="94" spans="19:19" x14ac:dyDescent="0.2">
      <c r="S94" t="str">
        <f t="shared" ca="1" si="2"/>
        <v/>
      </c>
    </row>
    <row r="95" spans="19:19" x14ac:dyDescent="0.2">
      <c r="S95" t="str">
        <f t="shared" ca="1" si="2"/>
        <v/>
      </c>
    </row>
    <row r="96" spans="19:19" x14ac:dyDescent="0.2">
      <c r="S96" t="str">
        <f t="shared" ca="1" si="2"/>
        <v/>
      </c>
    </row>
    <row r="97" spans="19:19" x14ac:dyDescent="0.2">
      <c r="S97" t="str">
        <f t="shared" ca="1" si="2"/>
        <v/>
      </c>
    </row>
    <row r="98" spans="19:19" x14ac:dyDescent="0.2">
      <c r="S98" t="str">
        <f t="shared" ca="1" si="2"/>
        <v/>
      </c>
    </row>
    <row r="99" spans="19:19" x14ac:dyDescent="0.2">
      <c r="S99" t="str">
        <f t="shared" ca="1" si="2"/>
        <v/>
      </c>
    </row>
    <row r="100" spans="19:19" x14ac:dyDescent="0.2">
      <c r="S100" t="str">
        <f t="shared" ca="1" si="2"/>
        <v/>
      </c>
    </row>
    <row r="101" spans="19:19" x14ac:dyDescent="0.2">
      <c r="S101" t="str">
        <f t="shared" ca="1" si="2"/>
        <v/>
      </c>
    </row>
    <row r="102" spans="19:19" x14ac:dyDescent="0.2">
      <c r="S102" t="str">
        <f t="shared" ca="1" si="2"/>
        <v/>
      </c>
    </row>
    <row r="103" spans="19:19" x14ac:dyDescent="0.2">
      <c r="S103" t="str">
        <f t="shared" ca="1" si="2"/>
        <v/>
      </c>
    </row>
    <row r="104" spans="19:19" x14ac:dyDescent="0.2">
      <c r="S104" t="str">
        <f t="shared" ca="1" si="2"/>
        <v/>
      </c>
    </row>
    <row r="105" spans="19:19" x14ac:dyDescent="0.2">
      <c r="S105" t="str">
        <f t="shared" ca="1" si="2"/>
        <v/>
      </c>
    </row>
    <row r="106" spans="19:19" x14ac:dyDescent="0.2">
      <c r="S106" t="str">
        <f t="shared" ref="S106:S137" ca="1" si="3"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 spans="19:19" x14ac:dyDescent="0.2">
      <c r="S107" t="str">
        <f t="shared" ca="1" si="3"/>
        <v/>
      </c>
    </row>
    <row r="108" spans="19:19" x14ac:dyDescent="0.2">
      <c r="S108" t="str">
        <f t="shared" ca="1" si="3"/>
        <v/>
      </c>
    </row>
    <row r="109" spans="19:19" x14ac:dyDescent="0.2">
      <c r="S109" t="str">
        <f t="shared" ca="1" si="3"/>
        <v/>
      </c>
    </row>
    <row r="110" spans="19:19" x14ac:dyDescent="0.2">
      <c r="S110" t="str">
        <f t="shared" ca="1" si="3"/>
        <v/>
      </c>
    </row>
    <row r="111" spans="19:19" x14ac:dyDescent="0.2">
      <c r="S111" t="str">
        <f t="shared" ca="1" si="3"/>
        <v/>
      </c>
    </row>
    <row r="112" spans="19:19" x14ac:dyDescent="0.2">
      <c r="S112" t="str">
        <f t="shared" ca="1" si="3"/>
        <v/>
      </c>
    </row>
    <row r="113" spans="19:19" x14ac:dyDescent="0.2">
      <c r="S113" t="str">
        <f t="shared" ca="1" si="3"/>
        <v/>
      </c>
    </row>
    <row r="114" spans="19:19" x14ac:dyDescent="0.2">
      <c r="S114" t="str">
        <f t="shared" ca="1" si="3"/>
        <v/>
      </c>
    </row>
    <row r="115" spans="19:19" x14ac:dyDescent="0.2">
      <c r="S115" t="str">
        <f t="shared" ca="1" si="3"/>
        <v/>
      </c>
    </row>
    <row r="116" spans="19:19" x14ac:dyDescent="0.2">
      <c r="S116" t="str">
        <f t="shared" ca="1" si="3"/>
        <v/>
      </c>
    </row>
    <row r="117" spans="19:19" x14ac:dyDescent="0.2">
      <c r="S117" t="str">
        <f t="shared" ca="1" si="3"/>
        <v/>
      </c>
    </row>
    <row r="118" spans="19:19" x14ac:dyDescent="0.2">
      <c r="S118" t="str">
        <f t="shared" ca="1" si="3"/>
        <v/>
      </c>
    </row>
    <row r="119" spans="19:19" x14ac:dyDescent="0.2">
      <c r="S119" t="str">
        <f t="shared" ca="1" si="3"/>
        <v/>
      </c>
    </row>
    <row r="120" spans="19:19" x14ac:dyDescent="0.2">
      <c r="S120" t="str">
        <f t="shared" ca="1" si="3"/>
        <v/>
      </c>
    </row>
    <row r="121" spans="19:19" x14ac:dyDescent="0.2">
      <c r="S121" t="str">
        <f t="shared" ca="1" si="3"/>
        <v/>
      </c>
    </row>
    <row r="122" spans="19:19" x14ac:dyDescent="0.2">
      <c r="S122" t="str">
        <f t="shared" ca="1" si="3"/>
        <v/>
      </c>
    </row>
    <row r="123" spans="19:19" x14ac:dyDescent="0.2">
      <c r="S123" t="str">
        <f t="shared" ca="1" si="3"/>
        <v/>
      </c>
    </row>
    <row r="124" spans="19:19" x14ac:dyDescent="0.2">
      <c r="S124" t="str">
        <f t="shared" ca="1" si="3"/>
        <v/>
      </c>
    </row>
    <row r="125" spans="19:19" x14ac:dyDescent="0.2">
      <c r="S125" t="str">
        <f t="shared" ca="1" si="3"/>
        <v/>
      </c>
    </row>
    <row r="126" spans="19:19" x14ac:dyDescent="0.2">
      <c r="S126" t="str">
        <f t="shared" ca="1" si="3"/>
        <v/>
      </c>
    </row>
    <row r="127" spans="19:19" x14ac:dyDescent="0.2">
      <c r="S127" t="str">
        <f t="shared" ca="1" si="3"/>
        <v/>
      </c>
    </row>
    <row r="128" spans="19:19" x14ac:dyDescent="0.2">
      <c r="S128" t="str">
        <f t="shared" ca="1" si="3"/>
        <v/>
      </c>
    </row>
    <row r="129" spans="19:19" x14ac:dyDescent="0.2">
      <c r="S129" t="str">
        <f t="shared" ca="1" si="3"/>
        <v/>
      </c>
    </row>
    <row r="130" spans="19:19" x14ac:dyDescent="0.2">
      <c r="S130" t="str">
        <f t="shared" ca="1" si="3"/>
        <v/>
      </c>
    </row>
    <row r="131" spans="19:19" x14ac:dyDescent="0.2">
      <c r="S131" t="str">
        <f t="shared" ca="1" si="3"/>
        <v/>
      </c>
    </row>
    <row r="132" spans="19:19" x14ac:dyDescent="0.2">
      <c r="S132" t="str">
        <f t="shared" ca="1" si="3"/>
        <v/>
      </c>
    </row>
    <row r="133" spans="19:19" x14ac:dyDescent="0.2">
      <c r="S133" t="str">
        <f t="shared" ca="1" si="3"/>
        <v/>
      </c>
    </row>
    <row r="134" spans="19:19" x14ac:dyDescent="0.2">
      <c r="S134" t="str">
        <f t="shared" ca="1" si="3"/>
        <v/>
      </c>
    </row>
    <row r="135" spans="19:19" x14ac:dyDescent="0.2">
      <c r="S135" t="str">
        <f t="shared" ca="1" si="3"/>
        <v/>
      </c>
    </row>
    <row r="136" spans="19:19" x14ac:dyDescent="0.2">
      <c r="S136" t="str">
        <f t="shared" ca="1" si="3"/>
        <v/>
      </c>
    </row>
    <row r="137" spans="19:19" x14ac:dyDescent="0.2">
      <c r="S137" t="str">
        <f t="shared" ca="1" si="3"/>
        <v/>
      </c>
    </row>
    <row r="138" spans="19:19" x14ac:dyDescent="0.2">
      <c r="S138" t="str">
        <f t="shared" ref="S138:S169" ca="1" si="4"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 spans="19:19" x14ac:dyDescent="0.2">
      <c r="S139" t="str">
        <f t="shared" ca="1" si="4"/>
        <v/>
      </c>
    </row>
    <row r="140" spans="19:19" x14ac:dyDescent="0.2">
      <c r="S140" t="str">
        <f t="shared" ca="1" si="4"/>
        <v/>
      </c>
    </row>
    <row r="141" spans="19:19" x14ac:dyDescent="0.2">
      <c r="S141" t="str">
        <f t="shared" ca="1" si="4"/>
        <v/>
      </c>
    </row>
    <row r="142" spans="19:19" x14ac:dyDescent="0.2">
      <c r="S142" t="str">
        <f t="shared" ca="1" si="4"/>
        <v/>
      </c>
    </row>
    <row r="143" spans="19:19" x14ac:dyDescent="0.2">
      <c r="S143" t="str">
        <f t="shared" ca="1" si="4"/>
        <v/>
      </c>
    </row>
    <row r="144" spans="19:19" x14ac:dyDescent="0.2">
      <c r="S144" t="str">
        <f t="shared" ca="1" si="4"/>
        <v/>
      </c>
    </row>
    <row r="145" spans="19:19" x14ac:dyDescent="0.2">
      <c r="S145" t="str">
        <f t="shared" ca="1" si="4"/>
        <v/>
      </c>
    </row>
    <row r="146" spans="19:19" x14ac:dyDescent="0.2">
      <c r="S146" t="str">
        <f t="shared" ca="1" si="4"/>
        <v/>
      </c>
    </row>
    <row r="147" spans="19:19" x14ac:dyDescent="0.2">
      <c r="S147" t="str">
        <f t="shared" ca="1" si="4"/>
        <v/>
      </c>
    </row>
    <row r="148" spans="19:19" x14ac:dyDescent="0.2">
      <c r="S148" t="str">
        <f t="shared" ca="1" si="4"/>
        <v/>
      </c>
    </row>
    <row r="149" spans="19:19" x14ac:dyDescent="0.2">
      <c r="S149" t="str">
        <f t="shared" ca="1" si="4"/>
        <v/>
      </c>
    </row>
    <row r="150" spans="19:19" x14ac:dyDescent="0.2">
      <c r="S150" t="str">
        <f t="shared" ca="1" si="4"/>
        <v/>
      </c>
    </row>
    <row r="151" spans="19:19" x14ac:dyDescent="0.2">
      <c r="S151" t="str">
        <f t="shared" ca="1" si="4"/>
        <v/>
      </c>
    </row>
    <row r="152" spans="19:19" x14ac:dyDescent="0.2">
      <c r="S152" t="str">
        <f t="shared" ca="1" si="4"/>
        <v/>
      </c>
    </row>
    <row r="153" spans="19:19" x14ac:dyDescent="0.2">
      <c r="S153" t="str">
        <f t="shared" ca="1" si="4"/>
        <v/>
      </c>
    </row>
    <row r="154" spans="19:19" x14ac:dyDescent="0.2">
      <c r="S154" t="str">
        <f t="shared" ca="1" si="4"/>
        <v/>
      </c>
    </row>
    <row r="155" spans="19:19" x14ac:dyDescent="0.2">
      <c r="S155" t="str">
        <f t="shared" ca="1" si="4"/>
        <v/>
      </c>
    </row>
    <row r="156" spans="19:19" x14ac:dyDescent="0.2">
      <c r="S156" t="str">
        <f t="shared" ca="1" si="4"/>
        <v/>
      </c>
    </row>
    <row r="157" spans="19:19" x14ac:dyDescent="0.2">
      <c r="S157" t="str">
        <f t="shared" ca="1" si="4"/>
        <v/>
      </c>
    </row>
    <row r="158" spans="19:19" x14ac:dyDescent="0.2">
      <c r="S158" t="str">
        <f t="shared" ca="1" si="4"/>
        <v/>
      </c>
    </row>
    <row r="159" spans="19:19" x14ac:dyDescent="0.2">
      <c r="S159" t="str">
        <f t="shared" ca="1" si="4"/>
        <v/>
      </c>
    </row>
    <row r="160" spans="19:19" x14ac:dyDescent="0.2">
      <c r="S160" t="str">
        <f t="shared" ca="1" si="4"/>
        <v/>
      </c>
    </row>
    <row r="161" spans="19:19" x14ac:dyDescent="0.2">
      <c r="S161" t="str">
        <f t="shared" ca="1" si="4"/>
        <v/>
      </c>
    </row>
    <row r="162" spans="19:19" x14ac:dyDescent="0.2">
      <c r="S162" t="str">
        <f t="shared" ca="1" si="4"/>
        <v/>
      </c>
    </row>
    <row r="163" spans="19:19" x14ac:dyDescent="0.2">
      <c r="S163" t="str">
        <f t="shared" ca="1" si="4"/>
        <v/>
      </c>
    </row>
    <row r="164" spans="19:19" x14ac:dyDescent="0.2">
      <c r="S164" t="str">
        <f t="shared" ca="1" si="4"/>
        <v/>
      </c>
    </row>
    <row r="165" spans="19:19" x14ac:dyDescent="0.2">
      <c r="S165" t="str">
        <f t="shared" ca="1" si="4"/>
        <v/>
      </c>
    </row>
    <row r="166" spans="19:19" x14ac:dyDescent="0.2">
      <c r="S166" t="str">
        <f t="shared" ca="1" si="4"/>
        <v/>
      </c>
    </row>
    <row r="167" spans="19:19" x14ac:dyDescent="0.2">
      <c r="S167" t="str">
        <f t="shared" ca="1" si="4"/>
        <v/>
      </c>
    </row>
    <row r="168" spans="19:19" x14ac:dyDescent="0.2">
      <c r="S168" t="str">
        <f t="shared" ca="1" si="4"/>
        <v/>
      </c>
    </row>
    <row r="169" spans="19:19" x14ac:dyDescent="0.2">
      <c r="S169" t="str">
        <f t="shared" ca="1" si="4"/>
        <v/>
      </c>
    </row>
    <row r="170" spans="19:19" x14ac:dyDescent="0.2">
      <c r="S170" t="str">
        <f t="shared" ref="S170:S201" ca="1" si="5"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 spans="19:19" x14ac:dyDescent="0.2">
      <c r="S171" t="str">
        <f t="shared" ca="1" si="5"/>
        <v/>
      </c>
    </row>
    <row r="172" spans="19:19" x14ac:dyDescent="0.2">
      <c r="S172" t="str">
        <f t="shared" ca="1" si="5"/>
        <v/>
      </c>
    </row>
    <row r="173" spans="19:19" x14ac:dyDescent="0.2">
      <c r="S173" t="str">
        <f t="shared" ca="1" si="5"/>
        <v/>
      </c>
    </row>
    <row r="174" spans="19:19" x14ac:dyDescent="0.2">
      <c r="S174" t="str">
        <f t="shared" ca="1" si="5"/>
        <v/>
      </c>
    </row>
    <row r="175" spans="19:19" x14ac:dyDescent="0.2">
      <c r="S175" t="str">
        <f t="shared" ca="1" si="5"/>
        <v/>
      </c>
    </row>
    <row r="176" spans="19:19" x14ac:dyDescent="0.2">
      <c r="S176" t="str">
        <f t="shared" ca="1" si="5"/>
        <v/>
      </c>
    </row>
    <row r="177" spans="19:19" x14ac:dyDescent="0.2">
      <c r="S177" t="str">
        <f t="shared" ca="1" si="5"/>
        <v/>
      </c>
    </row>
    <row r="178" spans="19:19" x14ac:dyDescent="0.2">
      <c r="S178" t="str">
        <f t="shared" ca="1" si="5"/>
        <v/>
      </c>
    </row>
    <row r="179" spans="19:19" x14ac:dyDescent="0.2">
      <c r="S179" t="str">
        <f t="shared" ca="1" si="5"/>
        <v/>
      </c>
    </row>
    <row r="180" spans="19:19" x14ac:dyDescent="0.2">
      <c r="S180" t="str">
        <f t="shared" ca="1" si="5"/>
        <v/>
      </c>
    </row>
    <row r="181" spans="19:19" x14ac:dyDescent="0.2">
      <c r="S181" t="str">
        <f t="shared" ca="1" si="5"/>
        <v/>
      </c>
    </row>
    <row r="182" spans="19:19" x14ac:dyDescent="0.2">
      <c r="S182" t="str">
        <f t="shared" ca="1" si="5"/>
        <v/>
      </c>
    </row>
    <row r="183" spans="19:19" x14ac:dyDescent="0.2">
      <c r="S183" t="str">
        <f t="shared" ca="1" si="5"/>
        <v/>
      </c>
    </row>
    <row r="184" spans="19:19" x14ac:dyDescent="0.2">
      <c r="S184" t="str">
        <f t="shared" ca="1" si="5"/>
        <v/>
      </c>
    </row>
    <row r="185" spans="19:19" x14ac:dyDescent="0.2">
      <c r="S185" t="str">
        <f t="shared" ca="1" si="5"/>
        <v/>
      </c>
    </row>
    <row r="186" spans="19:19" x14ac:dyDescent="0.2">
      <c r="S186" t="str">
        <f t="shared" ca="1" si="5"/>
        <v/>
      </c>
    </row>
    <row r="187" spans="19:19" x14ac:dyDescent="0.2">
      <c r="S187" t="str">
        <f t="shared" ca="1" si="5"/>
        <v/>
      </c>
    </row>
    <row r="188" spans="19:19" x14ac:dyDescent="0.2">
      <c r="S188" t="str">
        <f t="shared" ca="1" si="5"/>
        <v/>
      </c>
    </row>
    <row r="189" spans="19:19" x14ac:dyDescent="0.2">
      <c r="S189" t="str">
        <f t="shared" ca="1" si="5"/>
        <v/>
      </c>
    </row>
    <row r="190" spans="19:19" x14ac:dyDescent="0.2">
      <c r="S190" t="str">
        <f t="shared" ca="1" si="5"/>
        <v/>
      </c>
    </row>
    <row r="191" spans="19:19" x14ac:dyDescent="0.2">
      <c r="S191" t="str">
        <f t="shared" ca="1" si="5"/>
        <v/>
      </c>
    </row>
    <row r="192" spans="19:19" x14ac:dyDescent="0.2">
      <c r="S192" t="str">
        <f t="shared" ca="1" si="5"/>
        <v/>
      </c>
    </row>
    <row r="193" spans="19:19" x14ac:dyDescent="0.2">
      <c r="S193" t="str">
        <f t="shared" ca="1" si="5"/>
        <v/>
      </c>
    </row>
    <row r="194" spans="19:19" x14ac:dyDescent="0.2">
      <c r="S194" t="str">
        <f t="shared" ca="1" si="5"/>
        <v/>
      </c>
    </row>
    <row r="195" spans="19:19" x14ac:dyDescent="0.2">
      <c r="S195" t="str">
        <f t="shared" ca="1" si="5"/>
        <v/>
      </c>
    </row>
    <row r="196" spans="19:19" x14ac:dyDescent="0.2">
      <c r="S196" t="str">
        <f t="shared" ca="1" si="5"/>
        <v/>
      </c>
    </row>
    <row r="197" spans="19:19" x14ac:dyDescent="0.2">
      <c r="S197" t="str">
        <f t="shared" ca="1" si="5"/>
        <v/>
      </c>
    </row>
    <row r="198" spans="19:19" x14ac:dyDescent="0.2">
      <c r="S198" t="str">
        <f t="shared" ca="1" si="5"/>
        <v/>
      </c>
    </row>
    <row r="199" spans="19:19" x14ac:dyDescent="0.2">
      <c r="S199" t="str">
        <f t="shared" ca="1" si="5"/>
        <v/>
      </c>
    </row>
    <row r="200" spans="19:19" x14ac:dyDescent="0.2">
      <c r="S200" t="str">
        <f t="shared" ca="1" si="5"/>
        <v/>
      </c>
    </row>
    <row r="201" spans="19:19" x14ac:dyDescent="0.2">
      <c r="S201" t="str">
        <f t="shared" ca="1" si="5"/>
        <v/>
      </c>
    </row>
    <row r="202" spans="19:19" x14ac:dyDescent="0.2">
      <c r="S202" t="str">
        <f t="shared" ref="S202:S209" ca="1" si="6"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 spans="19:19" x14ac:dyDescent="0.2">
      <c r="S203" t="str">
        <f t="shared" ca="1" si="6"/>
        <v/>
      </c>
    </row>
    <row r="204" spans="19:19" x14ac:dyDescent="0.2">
      <c r="S204" t="str">
        <f t="shared" ca="1" si="6"/>
        <v/>
      </c>
    </row>
    <row r="205" spans="19:19" x14ac:dyDescent="0.2">
      <c r="S205" t="str">
        <f t="shared" ca="1" si="6"/>
        <v/>
      </c>
    </row>
    <row r="206" spans="19:19" x14ac:dyDescent="0.2">
      <c r="S206" t="str">
        <f t="shared" ca="1" si="6"/>
        <v/>
      </c>
    </row>
    <row r="207" spans="19:19" x14ac:dyDescent="0.2">
      <c r="S207" t="str">
        <f t="shared" ca="1" si="6"/>
        <v/>
      </c>
    </row>
    <row r="208" spans="19:19" x14ac:dyDescent="0.2">
      <c r="S208" t="str">
        <f t="shared" ca="1" si="6"/>
        <v/>
      </c>
    </row>
    <row r="209" spans="19:19" x14ac:dyDescent="0.2">
      <c r="S209" t="str">
        <f t="shared" ca="1" si="6"/>
        <v/>
      </c>
    </row>
  </sheetData>
  <conditionalFormatting sqref="S10:S209">
    <cfRule type="cellIs" dxfId="9" priority="1" operator="equal">
      <formula>"✗"</formula>
    </cfRule>
    <cfRule type="cellIs" dxfId="8" priority="2" operator="equal">
      <formula>"✓"</formula>
    </cfRule>
  </conditionalFormatting>
  <dataValidations count="3">
    <dataValidation type="list" sqref="B1" xr:uid="{00000000-0002-0000-0200-000000000000}">
      <formula1>"financial_position,income,comprehensive_income,income_and_comprehensive_income,changes_in_equity,changes_in_net_assets,cash_flows,other"</formula1>
    </dataValidation>
    <dataValidation type="list" sqref="B5" xr:uid="{00000000-0002-0000-0200-000001000000}">
      <formula1>"1,1000,1000000"</formula1>
    </dataValidation>
    <dataValidation type="list" allowBlank="1" sqref="A10:A209" xr:uid="{00000000-0002-0000-0200-000002000000}">
      <formula1>"section,item,subtotal,total"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52" customWidth="1"/>
    <col min="3" max="3" width="9" customWidth="1"/>
    <col min="4" max="17" width="16" customWidth="1"/>
    <col min="18" max="18" width="14" customWidth="1"/>
    <col min="19" max="19" width="7" customWidth="1"/>
    <col min="20" max="20" width="30" customWidth="1"/>
  </cols>
  <sheetData>
    <row r="1" spans="1:20" x14ac:dyDescent="0.2">
      <c r="A1" s="3" t="s">
        <v>40</v>
      </c>
      <c r="B1" s="4" t="s">
        <v>114</v>
      </c>
    </row>
    <row r="2" spans="1:20" x14ac:dyDescent="0.2">
      <c r="A2" s="3" t="s">
        <v>42</v>
      </c>
      <c r="B2" s="4" t="s">
        <v>115</v>
      </c>
    </row>
    <row r="3" spans="1:20" x14ac:dyDescent="0.2">
      <c r="A3" s="3" t="s">
        <v>44</v>
      </c>
      <c r="B3" s="4" t="s">
        <v>74</v>
      </c>
      <c r="C3" t="s">
        <v>46</v>
      </c>
    </row>
    <row r="4" spans="1:20" x14ac:dyDescent="0.2">
      <c r="A4" s="3" t="s">
        <v>47</v>
      </c>
      <c r="B4" s="4" t="s">
        <v>48</v>
      </c>
    </row>
    <row r="5" spans="1:20" x14ac:dyDescent="0.2">
      <c r="A5" s="3" t="s">
        <v>49</v>
      </c>
      <c r="B5" s="4">
        <v>1000</v>
      </c>
      <c r="C5" t="s">
        <v>50</v>
      </c>
    </row>
    <row r="7" spans="1:20" ht="32" x14ac:dyDescent="0.2">
      <c r="A7" s="5" t="s">
        <v>51</v>
      </c>
      <c r="B7" s="5" t="s">
        <v>52</v>
      </c>
      <c r="C7" s="5" t="s">
        <v>53</v>
      </c>
      <c r="D7" s="5" t="s">
        <v>54</v>
      </c>
      <c r="E7" s="5" t="s">
        <v>55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 t="s">
        <v>56</v>
      </c>
      <c r="S7" s="5" t="s">
        <v>57</v>
      </c>
      <c r="T7" s="5" t="s">
        <v>39</v>
      </c>
    </row>
    <row r="8" spans="1:20" x14ac:dyDescent="0.2">
      <c r="C8" t="s">
        <v>58</v>
      </c>
      <c r="D8" s="4" t="s">
        <v>25</v>
      </c>
      <c r="E8" s="4" t="s">
        <v>59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20" x14ac:dyDescent="0.2">
      <c r="C9" t="s">
        <v>60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20" x14ac:dyDescent="0.2">
      <c r="A10" t="s">
        <v>63</v>
      </c>
      <c r="B10" t="s">
        <v>116</v>
      </c>
      <c r="C10" t="s">
        <v>117</v>
      </c>
      <c r="D10">
        <v>7978793</v>
      </c>
      <c r="E10">
        <v>6264694</v>
      </c>
      <c r="S10" t="str">
        <f t="shared" ref="S10:S41" ca="1" si="0"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 spans="1:20" x14ac:dyDescent="0.2">
      <c r="A11" t="s">
        <v>63</v>
      </c>
      <c r="B11" t="s">
        <v>118</v>
      </c>
      <c r="C11" t="s">
        <v>117</v>
      </c>
      <c r="D11">
        <v>-5344371</v>
      </c>
      <c r="E11">
        <v>-3889894</v>
      </c>
      <c r="S11" t="str">
        <f t="shared" ca="1" si="0"/>
        <v/>
      </c>
    </row>
    <row r="12" spans="1:20" x14ac:dyDescent="0.2">
      <c r="A12" t="s">
        <v>105</v>
      </c>
      <c r="B12" t="s">
        <v>119</v>
      </c>
      <c r="D12">
        <v>2634422</v>
      </c>
      <c r="E12">
        <v>2374800</v>
      </c>
      <c r="R12" t="s">
        <v>120</v>
      </c>
      <c r="S12" t="str">
        <f t="shared" ca="1" si="0"/>
        <v>✓</v>
      </c>
    </row>
    <row r="13" spans="1:20" x14ac:dyDescent="0.2">
      <c r="A13" t="s">
        <v>63</v>
      </c>
      <c r="B13" t="s">
        <v>121</v>
      </c>
      <c r="C13" t="s">
        <v>122</v>
      </c>
      <c r="D13">
        <v>1085666</v>
      </c>
      <c r="E13">
        <v>968521</v>
      </c>
      <c r="S13" t="str">
        <f t="shared" ca="1" si="0"/>
        <v/>
      </c>
    </row>
    <row r="14" spans="1:20" x14ac:dyDescent="0.2">
      <c r="A14" t="s">
        <v>63</v>
      </c>
      <c r="B14" t="s">
        <v>123</v>
      </c>
      <c r="C14" t="s">
        <v>122</v>
      </c>
      <c r="D14">
        <v>-481605</v>
      </c>
      <c r="E14">
        <v>-420477</v>
      </c>
      <c r="S14" t="str">
        <f t="shared" ca="1" si="0"/>
        <v/>
      </c>
    </row>
    <row r="15" spans="1:20" x14ac:dyDescent="0.2">
      <c r="A15" t="s">
        <v>105</v>
      </c>
      <c r="B15" t="s">
        <v>124</v>
      </c>
      <c r="D15">
        <v>604061</v>
      </c>
      <c r="E15">
        <v>548044</v>
      </c>
      <c r="R15" t="s">
        <v>125</v>
      </c>
      <c r="S15" t="str">
        <f t="shared" ca="1" si="0"/>
        <v>✓</v>
      </c>
    </row>
    <row r="16" spans="1:20" x14ac:dyDescent="0.2">
      <c r="A16" t="s">
        <v>63</v>
      </c>
      <c r="B16" t="s">
        <v>126</v>
      </c>
      <c r="D16">
        <v>224066</v>
      </c>
      <c r="E16">
        <v>208792</v>
      </c>
      <c r="S16" t="str">
        <f t="shared" ca="1" si="0"/>
        <v/>
      </c>
    </row>
    <row r="17" spans="1:19" x14ac:dyDescent="0.2">
      <c r="A17" t="s">
        <v>63</v>
      </c>
      <c r="B17" t="s">
        <v>127</v>
      </c>
      <c r="C17" t="s">
        <v>128</v>
      </c>
      <c r="D17">
        <v>44641</v>
      </c>
      <c r="E17">
        <v>-3447</v>
      </c>
      <c r="S17" t="str">
        <f t="shared" ca="1" si="0"/>
        <v/>
      </c>
    </row>
    <row r="18" spans="1:19" x14ac:dyDescent="0.2">
      <c r="A18" t="s">
        <v>63</v>
      </c>
      <c r="B18" t="s">
        <v>129</v>
      </c>
      <c r="C18" t="s">
        <v>130</v>
      </c>
      <c r="D18">
        <v>192681</v>
      </c>
      <c r="E18">
        <v>153352</v>
      </c>
      <c r="S18" t="str">
        <f t="shared" ca="1" si="0"/>
        <v/>
      </c>
    </row>
    <row r="19" spans="1:19" x14ac:dyDescent="0.2">
      <c r="A19" t="s">
        <v>63</v>
      </c>
      <c r="B19" t="s">
        <v>131</v>
      </c>
      <c r="D19">
        <v>3457</v>
      </c>
      <c r="E19">
        <v>3604</v>
      </c>
      <c r="S19" t="str">
        <f t="shared" ca="1" si="0"/>
        <v/>
      </c>
    </row>
    <row r="20" spans="1:19" x14ac:dyDescent="0.2">
      <c r="A20" t="s">
        <v>63</v>
      </c>
      <c r="B20" t="s">
        <v>132</v>
      </c>
      <c r="D20">
        <v>-6464</v>
      </c>
      <c r="E20">
        <v>8590</v>
      </c>
      <c r="S20" t="str">
        <f t="shared" ca="1" si="0"/>
        <v/>
      </c>
    </row>
    <row r="21" spans="1:19" x14ac:dyDescent="0.2">
      <c r="A21" t="s">
        <v>63</v>
      </c>
      <c r="B21" t="s">
        <v>133</v>
      </c>
      <c r="C21" t="s">
        <v>134</v>
      </c>
      <c r="D21">
        <v>82533</v>
      </c>
      <c r="E21">
        <v>40917</v>
      </c>
      <c r="S21" t="str">
        <f t="shared" ca="1" si="0"/>
        <v/>
      </c>
    </row>
    <row r="22" spans="1:19" x14ac:dyDescent="0.2">
      <c r="A22" t="s">
        <v>105</v>
      </c>
      <c r="B22" t="s">
        <v>135</v>
      </c>
      <c r="D22">
        <v>3779397</v>
      </c>
      <c r="E22">
        <v>3334652</v>
      </c>
      <c r="R22" t="s">
        <v>136</v>
      </c>
      <c r="S22" t="str">
        <f t="shared" ca="1" si="0"/>
        <v>✓</v>
      </c>
    </row>
    <row r="23" spans="1:19" x14ac:dyDescent="0.2">
      <c r="A23" t="s">
        <v>63</v>
      </c>
      <c r="B23" t="s">
        <v>137</v>
      </c>
      <c r="C23" t="s">
        <v>138</v>
      </c>
      <c r="D23">
        <v>1126100</v>
      </c>
      <c r="E23">
        <v>1051876</v>
      </c>
      <c r="S23" t="str">
        <f t="shared" ca="1" si="0"/>
        <v/>
      </c>
    </row>
    <row r="24" spans="1:19" x14ac:dyDescent="0.2">
      <c r="A24" t="s">
        <v>63</v>
      </c>
      <c r="B24" t="s">
        <v>139</v>
      </c>
      <c r="D24">
        <v>57861</v>
      </c>
      <c r="E24">
        <v>53834</v>
      </c>
      <c r="S24" t="str">
        <f t="shared" ca="1" si="0"/>
        <v/>
      </c>
    </row>
    <row r="25" spans="1:19" x14ac:dyDescent="0.2">
      <c r="A25" t="s">
        <v>63</v>
      </c>
      <c r="B25" t="s">
        <v>140</v>
      </c>
      <c r="C25" t="s">
        <v>80</v>
      </c>
      <c r="D25">
        <v>183815</v>
      </c>
      <c r="E25">
        <v>182119</v>
      </c>
      <c r="S25" t="str">
        <f t="shared" ca="1" si="0"/>
        <v/>
      </c>
    </row>
    <row r="26" spans="1:19" x14ac:dyDescent="0.2">
      <c r="A26" t="s">
        <v>63</v>
      </c>
      <c r="B26" t="s">
        <v>141</v>
      </c>
      <c r="C26" t="s">
        <v>142</v>
      </c>
      <c r="D26">
        <v>702694</v>
      </c>
      <c r="E26">
        <v>635589</v>
      </c>
      <c r="S26" t="str">
        <f t="shared" ca="1" si="0"/>
        <v/>
      </c>
    </row>
    <row r="27" spans="1:19" x14ac:dyDescent="0.2">
      <c r="A27" t="s">
        <v>63</v>
      </c>
      <c r="B27" t="s">
        <v>143</v>
      </c>
      <c r="D27">
        <v>46320</v>
      </c>
      <c r="E27">
        <v>17386</v>
      </c>
      <c r="S27" t="str">
        <f t="shared" ca="1" si="0"/>
        <v/>
      </c>
    </row>
    <row r="28" spans="1:19" x14ac:dyDescent="0.2">
      <c r="A28" t="s">
        <v>105</v>
      </c>
      <c r="B28" t="s">
        <v>144</v>
      </c>
      <c r="D28">
        <v>2116790</v>
      </c>
      <c r="E28">
        <v>1940804</v>
      </c>
      <c r="R28" t="s">
        <v>96</v>
      </c>
      <c r="S28" t="str">
        <f t="shared" ca="1" si="0"/>
        <v>✓</v>
      </c>
    </row>
    <row r="29" spans="1:19" x14ac:dyDescent="0.2">
      <c r="A29" t="s">
        <v>63</v>
      </c>
      <c r="B29" t="s">
        <v>145</v>
      </c>
      <c r="C29" t="s">
        <v>146</v>
      </c>
      <c r="D29">
        <v>317460</v>
      </c>
      <c r="E29">
        <v>229063</v>
      </c>
      <c r="S29" t="str">
        <f t="shared" ca="1" si="0"/>
        <v/>
      </c>
    </row>
    <row r="30" spans="1:19" x14ac:dyDescent="0.2">
      <c r="A30" t="s">
        <v>63</v>
      </c>
      <c r="B30" t="s">
        <v>147</v>
      </c>
      <c r="D30">
        <v>-42571</v>
      </c>
      <c r="E30" t="s">
        <v>148</v>
      </c>
      <c r="S30" t="str">
        <f t="shared" ca="1" si="0"/>
        <v/>
      </c>
    </row>
    <row r="31" spans="1:19" x14ac:dyDescent="0.2">
      <c r="A31" t="s">
        <v>105</v>
      </c>
      <c r="B31" t="s">
        <v>149</v>
      </c>
      <c r="D31">
        <v>2391679</v>
      </c>
      <c r="E31">
        <v>2169867</v>
      </c>
      <c r="R31" t="s">
        <v>150</v>
      </c>
      <c r="S31" t="str">
        <f t="shared" ca="1" si="0"/>
        <v>✓</v>
      </c>
    </row>
    <row r="32" spans="1:19" x14ac:dyDescent="0.2">
      <c r="A32" t="s">
        <v>105</v>
      </c>
      <c r="B32" t="s">
        <v>151</v>
      </c>
      <c r="D32">
        <v>1387718</v>
      </c>
      <c r="E32">
        <v>1164785</v>
      </c>
      <c r="R32" t="s">
        <v>152</v>
      </c>
      <c r="S32" t="str">
        <f t="shared" ca="1" si="0"/>
        <v>✓</v>
      </c>
    </row>
    <row r="33" spans="1:20" x14ac:dyDescent="0.2">
      <c r="A33" t="s">
        <v>63</v>
      </c>
      <c r="B33" t="s">
        <v>153</v>
      </c>
      <c r="C33" t="s">
        <v>76</v>
      </c>
      <c r="D33">
        <v>16901</v>
      </c>
      <c r="E33">
        <v>16066</v>
      </c>
      <c r="S33" t="str">
        <f t="shared" ca="1" si="0"/>
        <v/>
      </c>
    </row>
    <row r="34" spans="1:20" x14ac:dyDescent="0.2">
      <c r="A34" t="s">
        <v>105</v>
      </c>
      <c r="B34" t="s">
        <v>154</v>
      </c>
      <c r="D34">
        <v>1404619</v>
      </c>
      <c r="E34">
        <v>1180851</v>
      </c>
      <c r="R34" t="s">
        <v>155</v>
      </c>
      <c r="S34" t="str">
        <f t="shared" ca="1" si="0"/>
        <v>✓</v>
      </c>
    </row>
    <row r="35" spans="1:20" x14ac:dyDescent="0.2">
      <c r="A35" t="s">
        <v>61</v>
      </c>
      <c r="B35" t="s">
        <v>156</v>
      </c>
      <c r="S35" t="str">
        <f t="shared" ca="1" si="0"/>
        <v/>
      </c>
    </row>
    <row r="36" spans="1:20" x14ac:dyDescent="0.2">
      <c r="A36" t="s">
        <v>63</v>
      </c>
      <c r="B36" t="s">
        <v>157</v>
      </c>
      <c r="C36" t="s">
        <v>158</v>
      </c>
      <c r="D36">
        <v>-165281</v>
      </c>
      <c r="E36">
        <v>-151387</v>
      </c>
      <c r="S36" t="str">
        <f t="shared" ca="1" si="0"/>
        <v/>
      </c>
    </row>
    <row r="37" spans="1:20" x14ac:dyDescent="0.2">
      <c r="A37" t="s">
        <v>63</v>
      </c>
      <c r="B37" t="s">
        <v>159</v>
      </c>
      <c r="C37" t="s">
        <v>158</v>
      </c>
      <c r="D37">
        <v>-8384</v>
      </c>
      <c r="E37">
        <v>-9492</v>
      </c>
      <c r="S37" t="str">
        <f t="shared" ca="1" si="0"/>
        <v/>
      </c>
    </row>
    <row r="38" spans="1:20" x14ac:dyDescent="0.2">
      <c r="A38" t="s">
        <v>81</v>
      </c>
      <c r="B38" t="s">
        <v>160</v>
      </c>
      <c r="D38">
        <v>1230954</v>
      </c>
      <c r="E38">
        <v>1019972</v>
      </c>
      <c r="R38" t="s">
        <v>161</v>
      </c>
      <c r="S38" t="str">
        <f t="shared" ca="1" si="0"/>
        <v>✓</v>
      </c>
    </row>
    <row r="39" spans="1:20" x14ac:dyDescent="0.2">
      <c r="A39" t="s">
        <v>63</v>
      </c>
      <c r="B39" t="s">
        <v>162</v>
      </c>
      <c r="C39" t="s">
        <v>163</v>
      </c>
      <c r="D39">
        <v>1.01</v>
      </c>
      <c r="E39">
        <v>0.86</v>
      </c>
      <c r="S39" t="str">
        <f t="shared" ca="1" si="0"/>
        <v/>
      </c>
      <c r="T39" t="s">
        <v>164</v>
      </c>
    </row>
    <row r="40" spans="1:20" x14ac:dyDescent="0.2">
      <c r="S40" t="str">
        <f t="shared" ca="1" si="0"/>
        <v/>
      </c>
    </row>
    <row r="41" spans="1:20" x14ac:dyDescent="0.2">
      <c r="S41" t="str">
        <f t="shared" ca="1" si="0"/>
        <v/>
      </c>
    </row>
    <row r="42" spans="1:20" x14ac:dyDescent="0.2">
      <c r="S42" t="str">
        <f t="shared" ref="S42:S73" ca="1" si="1"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 spans="1:20" x14ac:dyDescent="0.2">
      <c r="S43" t="str">
        <f t="shared" ca="1" si="1"/>
        <v/>
      </c>
    </row>
    <row r="44" spans="1:20" x14ac:dyDescent="0.2">
      <c r="S44" t="str">
        <f t="shared" ca="1" si="1"/>
        <v/>
      </c>
    </row>
    <row r="45" spans="1:20" x14ac:dyDescent="0.2">
      <c r="S45" t="str">
        <f t="shared" ca="1" si="1"/>
        <v/>
      </c>
    </row>
    <row r="46" spans="1:20" x14ac:dyDescent="0.2">
      <c r="S46" t="str">
        <f t="shared" ca="1" si="1"/>
        <v/>
      </c>
    </row>
    <row r="47" spans="1:20" x14ac:dyDescent="0.2">
      <c r="S47" t="str">
        <f t="shared" ca="1" si="1"/>
        <v/>
      </c>
    </row>
    <row r="48" spans="1:20" x14ac:dyDescent="0.2">
      <c r="S48" t="str">
        <f t="shared" ca="1" si="1"/>
        <v/>
      </c>
    </row>
    <row r="49" spans="19:19" x14ac:dyDescent="0.2">
      <c r="S49" t="str">
        <f t="shared" ca="1" si="1"/>
        <v/>
      </c>
    </row>
    <row r="50" spans="19:19" x14ac:dyDescent="0.2">
      <c r="S50" t="str">
        <f t="shared" ca="1" si="1"/>
        <v/>
      </c>
    </row>
    <row r="51" spans="19:19" x14ac:dyDescent="0.2">
      <c r="S51" t="str">
        <f t="shared" ca="1" si="1"/>
        <v/>
      </c>
    </row>
    <row r="52" spans="19:19" x14ac:dyDescent="0.2">
      <c r="S52" t="str">
        <f t="shared" ca="1" si="1"/>
        <v/>
      </c>
    </row>
    <row r="53" spans="19:19" x14ac:dyDescent="0.2">
      <c r="S53" t="str">
        <f t="shared" ca="1" si="1"/>
        <v/>
      </c>
    </row>
    <row r="54" spans="19:19" x14ac:dyDescent="0.2">
      <c r="S54" t="str">
        <f t="shared" ca="1" si="1"/>
        <v/>
      </c>
    </row>
    <row r="55" spans="19:19" x14ac:dyDescent="0.2">
      <c r="S55" t="str">
        <f t="shared" ca="1" si="1"/>
        <v/>
      </c>
    </row>
    <row r="56" spans="19:19" x14ac:dyDescent="0.2">
      <c r="S56" t="str">
        <f t="shared" ca="1" si="1"/>
        <v/>
      </c>
    </row>
    <row r="57" spans="19:19" x14ac:dyDescent="0.2">
      <c r="S57" t="str">
        <f t="shared" ca="1" si="1"/>
        <v/>
      </c>
    </row>
    <row r="58" spans="19:19" x14ac:dyDescent="0.2">
      <c r="S58" t="str">
        <f t="shared" ca="1" si="1"/>
        <v/>
      </c>
    </row>
    <row r="59" spans="19:19" x14ac:dyDescent="0.2">
      <c r="S59" t="str">
        <f t="shared" ca="1" si="1"/>
        <v/>
      </c>
    </row>
    <row r="60" spans="19:19" x14ac:dyDescent="0.2">
      <c r="S60" t="str">
        <f t="shared" ca="1" si="1"/>
        <v/>
      </c>
    </row>
    <row r="61" spans="19:19" x14ac:dyDescent="0.2">
      <c r="S61" t="str">
        <f t="shared" ca="1" si="1"/>
        <v/>
      </c>
    </row>
    <row r="62" spans="19:19" x14ac:dyDescent="0.2">
      <c r="S62" t="str">
        <f t="shared" ca="1" si="1"/>
        <v/>
      </c>
    </row>
    <row r="63" spans="19:19" x14ac:dyDescent="0.2">
      <c r="S63" t="str">
        <f t="shared" ca="1" si="1"/>
        <v/>
      </c>
    </row>
    <row r="64" spans="19:19" x14ac:dyDescent="0.2">
      <c r="S64" t="str">
        <f t="shared" ca="1" si="1"/>
        <v/>
      </c>
    </row>
    <row r="65" spans="19:19" x14ac:dyDescent="0.2">
      <c r="S65" t="str">
        <f t="shared" ca="1" si="1"/>
        <v/>
      </c>
    </row>
    <row r="66" spans="19:19" x14ac:dyDescent="0.2">
      <c r="S66" t="str">
        <f t="shared" ca="1" si="1"/>
        <v/>
      </c>
    </row>
    <row r="67" spans="19:19" x14ac:dyDescent="0.2">
      <c r="S67" t="str">
        <f t="shared" ca="1" si="1"/>
        <v/>
      </c>
    </row>
    <row r="68" spans="19:19" x14ac:dyDescent="0.2">
      <c r="S68" t="str">
        <f t="shared" ca="1" si="1"/>
        <v/>
      </c>
    </row>
    <row r="69" spans="19:19" x14ac:dyDescent="0.2">
      <c r="S69" t="str">
        <f t="shared" ca="1" si="1"/>
        <v/>
      </c>
    </row>
    <row r="70" spans="19:19" x14ac:dyDescent="0.2">
      <c r="S70" t="str">
        <f t="shared" ca="1" si="1"/>
        <v/>
      </c>
    </row>
    <row r="71" spans="19:19" x14ac:dyDescent="0.2">
      <c r="S71" t="str">
        <f t="shared" ca="1" si="1"/>
        <v/>
      </c>
    </row>
    <row r="72" spans="19:19" x14ac:dyDescent="0.2">
      <c r="S72" t="str">
        <f t="shared" ca="1" si="1"/>
        <v/>
      </c>
    </row>
    <row r="73" spans="19:19" x14ac:dyDescent="0.2">
      <c r="S73" t="str">
        <f t="shared" ca="1" si="1"/>
        <v/>
      </c>
    </row>
    <row r="74" spans="19:19" x14ac:dyDescent="0.2">
      <c r="S74" t="str">
        <f t="shared" ref="S74:S105" ca="1" si="2"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 spans="19:19" x14ac:dyDescent="0.2">
      <c r="S75" t="str">
        <f t="shared" ca="1" si="2"/>
        <v/>
      </c>
    </row>
    <row r="76" spans="19:19" x14ac:dyDescent="0.2">
      <c r="S76" t="str">
        <f t="shared" ca="1" si="2"/>
        <v/>
      </c>
    </row>
    <row r="77" spans="19:19" x14ac:dyDescent="0.2">
      <c r="S77" t="str">
        <f t="shared" ca="1" si="2"/>
        <v/>
      </c>
    </row>
    <row r="78" spans="19:19" x14ac:dyDescent="0.2">
      <c r="S78" t="str">
        <f t="shared" ca="1" si="2"/>
        <v/>
      </c>
    </row>
    <row r="79" spans="19:19" x14ac:dyDescent="0.2">
      <c r="S79" t="str">
        <f t="shared" ca="1" si="2"/>
        <v/>
      </c>
    </row>
    <row r="80" spans="19:19" x14ac:dyDescent="0.2">
      <c r="S80" t="str">
        <f t="shared" ca="1" si="2"/>
        <v/>
      </c>
    </row>
    <row r="81" spans="19:19" x14ac:dyDescent="0.2">
      <c r="S81" t="str">
        <f t="shared" ca="1" si="2"/>
        <v/>
      </c>
    </row>
    <row r="82" spans="19:19" x14ac:dyDescent="0.2">
      <c r="S82" t="str">
        <f t="shared" ca="1" si="2"/>
        <v/>
      </c>
    </row>
    <row r="83" spans="19:19" x14ac:dyDescent="0.2">
      <c r="S83" t="str">
        <f t="shared" ca="1" si="2"/>
        <v/>
      </c>
    </row>
    <row r="84" spans="19:19" x14ac:dyDescent="0.2">
      <c r="S84" t="str">
        <f t="shared" ca="1" si="2"/>
        <v/>
      </c>
    </row>
    <row r="85" spans="19:19" x14ac:dyDescent="0.2">
      <c r="S85" t="str">
        <f t="shared" ca="1" si="2"/>
        <v/>
      </c>
    </row>
    <row r="86" spans="19:19" x14ac:dyDescent="0.2">
      <c r="S86" t="str">
        <f t="shared" ca="1" si="2"/>
        <v/>
      </c>
    </row>
    <row r="87" spans="19:19" x14ac:dyDescent="0.2">
      <c r="S87" t="str">
        <f t="shared" ca="1" si="2"/>
        <v/>
      </c>
    </row>
    <row r="88" spans="19:19" x14ac:dyDescent="0.2">
      <c r="S88" t="str">
        <f t="shared" ca="1" si="2"/>
        <v/>
      </c>
    </row>
    <row r="89" spans="19:19" x14ac:dyDescent="0.2">
      <c r="S89" t="str">
        <f t="shared" ca="1" si="2"/>
        <v/>
      </c>
    </row>
    <row r="90" spans="19:19" x14ac:dyDescent="0.2">
      <c r="S90" t="str">
        <f t="shared" ca="1" si="2"/>
        <v/>
      </c>
    </row>
    <row r="91" spans="19:19" x14ac:dyDescent="0.2">
      <c r="S91" t="str">
        <f t="shared" ca="1" si="2"/>
        <v/>
      </c>
    </row>
    <row r="92" spans="19:19" x14ac:dyDescent="0.2">
      <c r="S92" t="str">
        <f t="shared" ca="1" si="2"/>
        <v/>
      </c>
    </row>
    <row r="93" spans="19:19" x14ac:dyDescent="0.2">
      <c r="S93" t="str">
        <f t="shared" ca="1" si="2"/>
        <v/>
      </c>
    </row>
    <row r="94" spans="19:19" x14ac:dyDescent="0.2">
      <c r="S94" t="str">
        <f t="shared" ca="1" si="2"/>
        <v/>
      </c>
    </row>
    <row r="95" spans="19:19" x14ac:dyDescent="0.2">
      <c r="S95" t="str">
        <f t="shared" ca="1" si="2"/>
        <v/>
      </c>
    </row>
    <row r="96" spans="19:19" x14ac:dyDescent="0.2">
      <c r="S96" t="str">
        <f t="shared" ca="1" si="2"/>
        <v/>
      </c>
    </row>
    <row r="97" spans="19:19" x14ac:dyDescent="0.2">
      <c r="S97" t="str">
        <f t="shared" ca="1" si="2"/>
        <v/>
      </c>
    </row>
    <row r="98" spans="19:19" x14ac:dyDescent="0.2">
      <c r="S98" t="str">
        <f t="shared" ca="1" si="2"/>
        <v/>
      </c>
    </row>
    <row r="99" spans="19:19" x14ac:dyDescent="0.2">
      <c r="S99" t="str">
        <f t="shared" ca="1" si="2"/>
        <v/>
      </c>
    </row>
    <row r="100" spans="19:19" x14ac:dyDescent="0.2">
      <c r="S100" t="str">
        <f t="shared" ca="1" si="2"/>
        <v/>
      </c>
    </row>
    <row r="101" spans="19:19" x14ac:dyDescent="0.2">
      <c r="S101" t="str">
        <f t="shared" ca="1" si="2"/>
        <v/>
      </c>
    </row>
    <row r="102" spans="19:19" x14ac:dyDescent="0.2">
      <c r="S102" t="str">
        <f t="shared" ca="1" si="2"/>
        <v/>
      </c>
    </row>
    <row r="103" spans="19:19" x14ac:dyDescent="0.2">
      <c r="S103" t="str">
        <f t="shared" ca="1" si="2"/>
        <v/>
      </c>
    </row>
    <row r="104" spans="19:19" x14ac:dyDescent="0.2">
      <c r="S104" t="str">
        <f t="shared" ca="1" si="2"/>
        <v/>
      </c>
    </row>
    <row r="105" spans="19:19" x14ac:dyDescent="0.2">
      <c r="S105" t="str">
        <f t="shared" ca="1" si="2"/>
        <v/>
      </c>
    </row>
    <row r="106" spans="19:19" x14ac:dyDescent="0.2">
      <c r="S106" t="str">
        <f t="shared" ref="S106:S137" ca="1" si="3"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 spans="19:19" x14ac:dyDescent="0.2">
      <c r="S107" t="str">
        <f t="shared" ca="1" si="3"/>
        <v/>
      </c>
    </row>
    <row r="108" spans="19:19" x14ac:dyDescent="0.2">
      <c r="S108" t="str">
        <f t="shared" ca="1" si="3"/>
        <v/>
      </c>
    </row>
    <row r="109" spans="19:19" x14ac:dyDescent="0.2">
      <c r="S109" t="str">
        <f t="shared" ca="1" si="3"/>
        <v/>
      </c>
    </row>
    <row r="110" spans="19:19" x14ac:dyDescent="0.2">
      <c r="S110" t="str">
        <f t="shared" ca="1" si="3"/>
        <v/>
      </c>
    </row>
    <row r="111" spans="19:19" x14ac:dyDescent="0.2">
      <c r="S111" t="str">
        <f t="shared" ca="1" si="3"/>
        <v/>
      </c>
    </row>
    <row r="112" spans="19:19" x14ac:dyDescent="0.2">
      <c r="S112" t="str">
        <f t="shared" ca="1" si="3"/>
        <v/>
      </c>
    </row>
    <row r="113" spans="19:19" x14ac:dyDescent="0.2">
      <c r="S113" t="str">
        <f t="shared" ca="1" si="3"/>
        <v/>
      </c>
    </row>
    <row r="114" spans="19:19" x14ac:dyDescent="0.2">
      <c r="S114" t="str">
        <f t="shared" ca="1" si="3"/>
        <v/>
      </c>
    </row>
    <row r="115" spans="19:19" x14ac:dyDescent="0.2">
      <c r="S115" t="str">
        <f t="shared" ca="1" si="3"/>
        <v/>
      </c>
    </row>
    <row r="116" spans="19:19" x14ac:dyDescent="0.2">
      <c r="S116" t="str">
        <f t="shared" ca="1" si="3"/>
        <v/>
      </c>
    </row>
    <row r="117" spans="19:19" x14ac:dyDescent="0.2">
      <c r="S117" t="str">
        <f t="shared" ca="1" si="3"/>
        <v/>
      </c>
    </row>
    <row r="118" spans="19:19" x14ac:dyDescent="0.2">
      <c r="S118" t="str">
        <f t="shared" ca="1" si="3"/>
        <v/>
      </c>
    </row>
    <row r="119" spans="19:19" x14ac:dyDescent="0.2">
      <c r="S119" t="str">
        <f t="shared" ca="1" si="3"/>
        <v/>
      </c>
    </row>
    <row r="120" spans="19:19" x14ac:dyDescent="0.2">
      <c r="S120" t="str">
        <f t="shared" ca="1" si="3"/>
        <v/>
      </c>
    </row>
    <row r="121" spans="19:19" x14ac:dyDescent="0.2">
      <c r="S121" t="str">
        <f t="shared" ca="1" si="3"/>
        <v/>
      </c>
    </row>
    <row r="122" spans="19:19" x14ac:dyDescent="0.2">
      <c r="S122" t="str">
        <f t="shared" ca="1" si="3"/>
        <v/>
      </c>
    </row>
    <row r="123" spans="19:19" x14ac:dyDescent="0.2">
      <c r="S123" t="str">
        <f t="shared" ca="1" si="3"/>
        <v/>
      </c>
    </row>
    <row r="124" spans="19:19" x14ac:dyDescent="0.2">
      <c r="S124" t="str">
        <f t="shared" ca="1" si="3"/>
        <v/>
      </c>
    </row>
    <row r="125" spans="19:19" x14ac:dyDescent="0.2">
      <c r="S125" t="str">
        <f t="shared" ca="1" si="3"/>
        <v/>
      </c>
    </row>
    <row r="126" spans="19:19" x14ac:dyDescent="0.2">
      <c r="S126" t="str">
        <f t="shared" ca="1" si="3"/>
        <v/>
      </c>
    </row>
    <row r="127" spans="19:19" x14ac:dyDescent="0.2">
      <c r="S127" t="str">
        <f t="shared" ca="1" si="3"/>
        <v/>
      </c>
    </row>
    <row r="128" spans="19:19" x14ac:dyDescent="0.2">
      <c r="S128" t="str">
        <f t="shared" ca="1" si="3"/>
        <v/>
      </c>
    </row>
    <row r="129" spans="19:19" x14ac:dyDescent="0.2">
      <c r="S129" t="str">
        <f t="shared" ca="1" si="3"/>
        <v/>
      </c>
    </row>
    <row r="130" spans="19:19" x14ac:dyDescent="0.2">
      <c r="S130" t="str">
        <f t="shared" ca="1" si="3"/>
        <v/>
      </c>
    </row>
    <row r="131" spans="19:19" x14ac:dyDescent="0.2">
      <c r="S131" t="str">
        <f t="shared" ca="1" si="3"/>
        <v/>
      </c>
    </row>
    <row r="132" spans="19:19" x14ac:dyDescent="0.2">
      <c r="S132" t="str">
        <f t="shared" ca="1" si="3"/>
        <v/>
      </c>
    </row>
    <row r="133" spans="19:19" x14ac:dyDescent="0.2">
      <c r="S133" t="str">
        <f t="shared" ca="1" si="3"/>
        <v/>
      </c>
    </row>
    <row r="134" spans="19:19" x14ac:dyDescent="0.2">
      <c r="S134" t="str">
        <f t="shared" ca="1" si="3"/>
        <v/>
      </c>
    </row>
    <row r="135" spans="19:19" x14ac:dyDescent="0.2">
      <c r="S135" t="str">
        <f t="shared" ca="1" si="3"/>
        <v/>
      </c>
    </row>
    <row r="136" spans="19:19" x14ac:dyDescent="0.2">
      <c r="S136" t="str">
        <f t="shared" ca="1" si="3"/>
        <v/>
      </c>
    </row>
    <row r="137" spans="19:19" x14ac:dyDescent="0.2">
      <c r="S137" t="str">
        <f t="shared" ca="1" si="3"/>
        <v/>
      </c>
    </row>
    <row r="138" spans="19:19" x14ac:dyDescent="0.2">
      <c r="S138" t="str">
        <f t="shared" ref="S138:S169" ca="1" si="4"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 spans="19:19" x14ac:dyDescent="0.2">
      <c r="S139" t="str">
        <f t="shared" ca="1" si="4"/>
        <v/>
      </c>
    </row>
    <row r="140" spans="19:19" x14ac:dyDescent="0.2">
      <c r="S140" t="str">
        <f t="shared" ca="1" si="4"/>
        <v/>
      </c>
    </row>
    <row r="141" spans="19:19" x14ac:dyDescent="0.2">
      <c r="S141" t="str">
        <f t="shared" ca="1" si="4"/>
        <v/>
      </c>
    </row>
    <row r="142" spans="19:19" x14ac:dyDescent="0.2">
      <c r="S142" t="str">
        <f t="shared" ca="1" si="4"/>
        <v/>
      </c>
    </row>
    <row r="143" spans="19:19" x14ac:dyDescent="0.2">
      <c r="S143" t="str">
        <f t="shared" ca="1" si="4"/>
        <v/>
      </c>
    </row>
    <row r="144" spans="19:19" x14ac:dyDescent="0.2">
      <c r="S144" t="str">
        <f t="shared" ca="1" si="4"/>
        <v/>
      </c>
    </row>
    <row r="145" spans="19:19" x14ac:dyDescent="0.2">
      <c r="S145" t="str">
        <f t="shared" ca="1" si="4"/>
        <v/>
      </c>
    </row>
    <row r="146" spans="19:19" x14ac:dyDescent="0.2">
      <c r="S146" t="str">
        <f t="shared" ca="1" si="4"/>
        <v/>
      </c>
    </row>
    <row r="147" spans="19:19" x14ac:dyDescent="0.2">
      <c r="S147" t="str">
        <f t="shared" ca="1" si="4"/>
        <v/>
      </c>
    </row>
    <row r="148" spans="19:19" x14ac:dyDescent="0.2">
      <c r="S148" t="str">
        <f t="shared" ca="1" si="4"/>
        <v/>
      </c>
    </row>
    <row r="149" spans="19:19" x14ac:dyDescent="0.2">
      <c r="S149" t="str">
        <f t="shared" ca="1" si="4"/>
        <v/>
      </c>
    </row>
    <row r="150" spans="19:19" x14ac:dyDescent="0.2">
      <c r="S150" t="str">
        <f t="shared" ca="1" si="4"/>
        <v/>
      </c>
    </row>
    <row r="151" spans="19:19" x14ac:dyDescent="0.2">
      <c r="S151" t="str">
        <f t="shared" ca="1" si="4"/>
        <v/>
      </c>
    </row>
    <row r="152" spans="19:19" x14ac:dyDescent="0.2">
      <c r="S152" t="str">
        <f t="shared" ca="1" si="4"/>
        <v/>
      </c>
    </row>
    <row r="153" spans="19:19" x14ac:dyDescent="0.2">
      <c r="S153" t="str">
        <f t="shared" ca="1" si="4"/>
        <v/>
      </c>
    </row>
    <row r="154" spans="19:19" x14ac:dyDescent="0.2">
      <c r="S154" t="str">
        <f t="shared" ca="1" si="4"/>
        <v/>
      </c>
    </row>
    <row r="155" spans="19:19" x14ac:dyDescent="0.2">
      <c r="S155" t="str">
        <f t="shared" ca="1" si="4"/>
        <v/>
      </c>
    </row>
    <row r="156" spans="19:19" x14ac:dyDescent="0.2">
      <c r="S156" t="str">
        <f t="shared" ca="1" si="4"/>
        <v/>
      </c>
    </row>
    <row r="157" spans="19:19" x14ac:dyDescent="0.2">
      <c r="S157" t="str">
        <f t="shared" ca="1" si="4"/>
        <v/>
      </c>
    </row>
    <row r="158" spans="19:19" x14ac:dyDescent="0.2">
      <c r="S158" t="str">
        <f t="shared" ca="1" si="4"/>
        <v/>
      </c>
    </row>
    <row r="159" spans="19:19" x14ac:dyDescent="0.2">
      <c r="S159" t="str">
        <f t="shared" ca="1" si="4"/>
        <v/>
      </c>
    </row>
    <row r="160" spans="19:19" x14ac:dyDescent="0.2">
      <c r="S160" t="str">
        <f t="shared" ca="1" si="4"/>
        <v/>
      </c>
    </row>
    <row r="161" spans="19:19" x14ac:dyDescent="0.2">
      <c r="S161" t="str">
        <f t="shared" ca="1" si="4"/>
        <v/>
      </c>
    </row>
    <row r="162" spans="19:19" x14ac:dyDescent="0.2">
      <c r="S162" t="str">
        <f t="shared" ca="1" si="4"/>
        <v/>
      </c>
    </row>
    <row r="163" spans="19:19" x14ac:dyDescent="0.2">
      <c r="S163" t="str">
        <f t="shared" ca="1" si="4"/>
        <v/>
      </c>
    </row>
    <row r="164" spans="19:19" x14ac:dyDescent="0.2">
      <c r="S164" t="str">
        <f t="shared" ca="1" si="4"/>
        <v/>
      </c>
    </row>
    <row r="165" spans="19:19" x14ac:dyDescent="0.2">
      <c r="S165" t="str">
        <f t="shared" ca="1" si="4"/>
        <v/>
      </c>
    </row>
    <row r="166" spans="19:19" x14ac:dyDescent="0.2">
      <c r="S166" t="str">
        <f t="shared" ca="1" si="4"/>
        <v/>
      </c>
    </row>
    <row r="167" spans="19:19" x14ac:dyDescent="0.2">
      <c r="S167" t="str">
        <f t="shared" ca="1" si="4"/>
        <v/>
      </c>
    </row>
    <row r="168" spans="19:19" x14ac:dyDescent="0.2">
      <c r="S168" t="str">
        <f t="shared" ca="1" si="4"/>
        <v/>
      </c>
    </row>
    <row r="169" spans="19:19" x14ac:dyDescent="0.2">
      <c r="S169" t="str">
        <f t="shared" ca="1" si="4"/>
        <v/>
      </c>
    </row>
    <row r="170" spans="19:19" x14ac:dyDescent="0.2">
      <c r="S170" t="str">
        <f t="shared" ref="S170:S201" ca="1" si="5"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 spans="19:19" x14ac:dyDescent="0.2">
      <c r="S171" t="str">
        <f t="shared" ca="1" si="5"/>
        <v/>
      </c>
    </row>
    <row r="172" spans="19:19" x14ac:dyDescent="0.2">
      <c r="S172" t="str">
        <f t="shared" ca="1" si="5"/>
        <v/>
      </c>
    </row>
    <row r="173" spans="19:19" x14ac:dyDescent="0.2">
      <c r="S173" t="str">
        <f t="shared" ca="1" si="5"/>
        <v/>
      </c>
    </row>
    <row r="174" spans="19:19" x14ac:dyDescent="0.2">
      <c r="S174" t="str">
        <f t="shared" ca="1" si="5"/>
        <v/>
      </c>
    </row>
    <row r="175" spans="19:19" x14ac:dyDescent="0.2">
      <c r="S175" t="str">
        <f t="shared" ca="1" si="5"/>
        <v/>
      </c>
    </row>
    <row r="176" spans="19:19" x14ac:dyDescent="0.2">
      <c r="S176" t="str">
        <f t="shared" ca="1" si="5"/>
        <v/>
      </c>
    </row>
    <row r="177" spans="19:19" x14ac:dyDescent="0.2">
      <c r="S177" t="str">
        <f t="shared" ca="1" si="5"/>
        <v/>
      </c>
    </row>
    <row r="178" spans="19:19" x14ac:dyDescent="0.2">
      <c r="S178" t="str">
        <f t="shared" ca="1" si="5"/>
        <v/>
      </c>
    </row>
    <row r="179" spans="19:19" x14ac:dyDescent="0.2">
      <c r="S179" t="str">
        <f t="shared" ca="1" si="5"/>
        <v/>
      </c>
    </row>
    <row r="180" spans="19:19" x14ac:dyDescent="0.2">
      <c r="S180" t="str">
        <f t="shared" ca="1" si="5"/>
        <v/>
      </c>
    </row>
    <row r="181" spans="19:19" x14ac:dyDescent="0.2">
      <c r="S181" t="str">
        <f t="shared" ca="1" si="5"/>
        <v/>
      </c>
    </row>
    <row r="182" spans="19:19" x14ac:dyDescent="0.2">
      <c r="S182" t="str">
        <f t="shared" ca="1" si="5"/>
        <v/>
      </c>
    </row>
    <row r="183" spans="19:19" x14ac:dyDescent="0.2">
      <c r="S183" t="str">
        <f t="shared" ca="1" si="5"/>
        <v/>
      </c>
    </row>
    <row r="184" spans="19:19" x14ac:dyDescent="0.2">
      <c r="S184" t="str">
        <f t="shared" ca="1" si="5"/>
        <v/>
      </c>
    </row>
    <row r="185" spans="19:19" x14ac:dyDescent="0.2">
      <c r="S185" t="str">
        <f t="shared" ca="1" si="5"/>
        <v/>
      </c>
    </row>
    <row r="186" spans="19:19" x14ac:dyDescent="0.2">
      <c r="S186" t="str">
        <f t="shared" ca="1" si="5"/>
        <v/>
      </c>
    </row>
    <row r="187" spans="19:19" x14ac:dyDescent="0.2">
      <c r="S187" t="str">
        <f t="shared" ca="1" si="5"/>
        <v/>
      </c>
    </row>
    <row r="188" spans="19:19" x14ac:dyDescent="0.2">
      <c r="S188" t="str">
        <f t="shared" ca="1" si="5"/>
        <v/>
      </c>
    </row>
    <row r="189" spans="19:19" x14ac:dyDescent="0.2">
      <c r="S189" t="str">
        <f t="shared" ca="1" si="5"/>
        <v/>
      </c>
    </row>
    <row r="190" spans="19:19" x14ac:dyDescent="0.2">
      <c r="S190" t="str">
        <f t="shared" ca="1" si="5"/>
        <v/>
      </c>
    </row>
    <row r="191" spans="19:19" x14ac:dyDescent="0.2">
      <c r="S191" t="str">
        <f t="shared" ca="1" si="5"/>
        <v/>
      </c>
    </row>
    <row r="192" spans="19:19" x14ac:dyDescent="0.2">
      <c r="S192" t="str">
        <f t="shared" ca="1" si="5"/>
        <v/>
      </c>
    </row>
    <row r="193" spans="19:19" x14ac:dyDescent="0.2">
      <c r="S193" t="str">
        <f t="shared" ca="1" si="5"/>
        <v/>
      </c>
    </row>
    <row r="194" spans="19:19" x14ac:dyDescent="0.2">
      <c r="S194" t="str">
        <f t="shared" ca="1" si="5"/>
        <v/>
      </c>
    </row>
    <row r="195" spans="19:19" x14ac:dyDescent="0.2">
      <c r="S195" t="str">
        <f t="shared" ca="1" si="5"/>
        <v/>
      </c>
    </row>
    <row r="196" spans="19:19" x14ac:dyDescent="0.2">
      <c r="S196" t="str">
        <f t="shared" ca="1" si="5"/>
        <v/>
      </c>
    </row>
    <row r="197" spans="19:19" x14ac:dyDescent="0.2">
      <c r="S197" t="str">
        <f t="shared" ca="1" si="5"/>
        <v/>
      </c>
    </row>
    <row r="198" spans="19:19" x14ac:dyDescent="0.2">
      <c r="S198" t="str">
        <f t="shared" ca="1" si="5"/>
        <v/>
      </c>
    </row>
    <row r="199" spans="19:19" x14ac:dyDescent="0.2">
      <c r="S199" t="str">
        <f t="shared" ca="1" si="5"/>
        <v/>
      </c>
    </row>
    <row r="200" spans="19:19" x14ac:dyDescent="0.2">
      <c r="S200" t="str">
        <f t="shared" ca="1" si="5"/>
        <v/>
      </c>
    </row>
    <row r="201" spans="19:19" x14ac:dyDescent="0.2">
      <c r="S201" t="str">
        <f t="shared" ca="1" si="5"/>
        <v/>
      </c>
    </row>
    <row r="202" spans="19:19" x14ac:dyDescent="0.2">
      <c r="S202" t="str">
        <f t="shared" ref="S202:S209" ca="1" si="6"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 spans="19:19" x14ac:dyDescent="0.2">
      <c r="S203" t="str">
        <f t="shared" ca="1" si="6"/>
        <v/>
      </c>
    </row>
    <row r="204" spans="19:19" x14ac:dyDescent="0.2">
      <c r="S204" t="str">
        <f t="shared" ca="1" si="6"/>
        <v/>
      </c>
    </row>
    <row r="205" spans="19:19" x14ac:dyDescent="0.2">
      <c r="S205" t="str">
        <f t="shared" ca="1" si="6"/>
        <v/>
      </c>
    </row>
    <row r="206" spans="19:19" x14ac:dyDescent="0.2">
      <c r="S206" t="str">
        <f t="shared" ca="1" si="6"/>
        <v/>
      </c>
    </row>
    <row r="207" spans="19:19" x14ac:dyDescent="0.2">
      <c r="S207" t="str">
        <f t="shared" ca="1" si="6"/>
        <v/>
      </c>
    </row>
    <row r="208" spans="19:19" x14ac:dyDescent="0.2">
      <c r="S208" t="str">
        <f t="shared" ca="1" si="6"/>
        <v/>
      </c>
    </row>
    <row r="209" spans="19:19" x14ac:dyDescent="0.2">
      <c r="S209" t="str">
        <f t="shared" ca="1" si="6"/>
        <v/>
      </c>
    </row>
  </sheetData>
  <conditionalFormatting sqref="S10:S209">
    <cfRule type="cellIs" dxfId="7" priority="1" operator="equal">
      <formula>"✗"</formula>
    </cfRule>
    <cfRule type="cellIs" dxfId="6" priority="2" operator="equal">
      <formula>"✓"</formula>
    </cfRule>
  </conditionalFormatting>
  <dataValidations count="3">
    <dataValidation type="list" sqref="B1" xr:uid="{00000000-0002-0000-0300-000000000000}">
      <formula1>"financial_position,income,comprehensive_income,income_and_comprehensive_income,changes_in_equity,changes_in_net_assets,cash_flows,other"</formula1>
    </dataValidation>
    <dataValidation type="list" sqref="B5" xr:uid="{00000000-0002-0000-0300-000001000000}">
      <formula1>"1,1000,1000000"</formula1>
    </dataValidation>
    <dataValidation type="list" allowBlank="1" sqref="A10:A209" xr:uid="{00000000-0002-0000-0300-000002000000}">
      <formula1>"section,item,subtotal,total"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52" customWidth="1"/>
    <col min="3" max="3" width="9" customWidth="1"/>
    <col min="4" max="17" width="16" customWidth="1"/>
    <col min="18" max="18" width="14" customWidth="1"/>
    <col min="19" max="19" width="7" customWidth="1"/>
    <col min="20" max="20" width="30" customWidth="1"/>
  </cols>
  <sheetData>
    <row r="1" spans="1:20" x14ac:dyDescent="0.2">
      <c r="A1" s="3" t="s">
        <v>40</v>
      </c>
      <c r="B1" s="4" t="s">
        <v>165</v>
      </c>
    </row>
    <row r="2" spans="1:20" x14ac:dyDescent="0.2">
      <c r="A2" s="3" t="s">
        <v>42</v>
      </c>
      <c r="B2" s="4" t="s">
        <v>166</v>
      </c>
    </row>
    <row r="3" spans="1:20" x14ac:dyDescent="0.2">
      <c r="A3" s="3" t="s">
        <v>44</v>
      </c>
      <c r="B3" s="4" t="s">
        <v>76</v>
      </c>
      <c r="C3" t="s">
        <v>46</v>
      </c>
    </row>
    <row r="4" spans="1:20" x14ac:dyDescent="0.2">
      <c r="A4" s="3" t="s">
        <v>47</v>
      </c>
      <c r="B4" s="4" t="s">
        <v>48</v>
      </c>
    </row>
    <row r="5" spans="1:20" x14ac:dyDescent="0.2">
      <c r="A5" s="3" t="s">
        <v>49</v>
      </c>
      <c r="B5" s="4">
        <v>1000</v>
      </c>
      <c r="C5" t="s">
        <v>50</v>
      </c>
    </row>
    <row r="7" spans="1:20" ht="32" x14ac:dyDescent="0.2">
      <c r="A7" s="5" t="s">
        <v>51</v>
      </c>
      <c r="B7" s="5" t="s">
        <v>52</v>
      </c>
      <c r="C7" s="5" t="s">
        <v>53</v>
      </c>
      <c r="D7" s="5" t="s">
        <v>54</v>
      </c>
      <c r="E7" s="5" t="s">
        <v>55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 t="s">
        <v>56</v>
      </c>
      <c r="S7" s="5" t="s">
        <v>57</v>
      </c>
      <c r="T7" s="5" t="s">
        <v>39</v>
      </c>
    </row>
    <row r="8" spans="1:20" x14ac:dyDescent="0.2">
      <c r="C8" t="s">
        <v>58</v>
      </c>
      <c r="D8" s="4" t="s">
        <v>25</v>
      </c>
      <c r="E8" s="4" t="s">
        <v>59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20" x14ac:dyDescent="0.2">
      <c r="C9" t="s">
        <v>60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20" x14ac:dyDescent="0.2">
      <c r="A10" t="s">
        <v>63</v>
      </c>
      <c r="B10" t="s">
        <v>160</v>
      </c>
      <c r="D10">
        <v>1230954</v>
      </c>
      <c r="E10">
        <v>1019972</v>
      </c>
      <c r="S10" t="str">
        <f t="shared" ref="S10:S41" ca="1" si="0"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 spans="1:20" x14ac:dyDescent="0.2">
      <c r="A11" t="s">
        <v>61</v>
      </c>
      <c r="B11" t="s">
        <v>167</v>
      </c>
      <c r="S11" t="str">
        <f t="shared" ca="1" si="0"/>
        <v/>
      </c>
    </row>
    <row r="12" spans="1:20" x14ac:dyDescent="0.2">
      <c r="A12" t="s">
        <v>61</v>
      </c>
      <c r="B12" t="s">
        <v>168</v>
      </c>
      <c r="S12" t="str">
        <f t="shared" ca="1" si="0"/>
        <v/>
      </c>
    </row>
    <row r="13" spans="1:20" x14ac:dyDescent="0.2">
      <c r="A13" t="s">
        <v>61</v>
      </c>
      <c r="B13" t="s">
        <v>169</v>
      </c>
      <c r="S13" t="str">
        <f t="shared" ca="1" si="0"/>
        <v/>
      </c>
    </row>
    <row r="14" spans="1:20" x14ac:dyDescent="0.2">
      <c r="A14" t="s">
        <v>63</v>
      </c>
      <c r="B14" t="s">
        <v>170</v>
      </c>
      <c r="C14" t="s">
        <v>103</v>
      </c>
      <c r="D14">
        <v>17178</v>
      </c>
      <c r="E14">
        <v>-41828</v>
      </c>
      <c r="S14" t="str">
        <f t="shared" ca="1" si="0"/>
        <v/>
      </c>
    </row>
    <row r="15" spans="1:20" x14ac:dyDescent="0.2">
      <c r="A15" t="s">
        <v>63</v>
      </c>
      <c r="B15" t="s">
        <v>171</v>
      </c>
      <c r="C15" t="s">
        <v>103</v>
      </c>
      <c r="D15">
        <v>-10149</v>
      </c>
      <c r="E15">
        <v>-117</v>
      </c>
      <c r="S15" t="str">
        <f t="shared" ca="1" si="0"/>
        <v/>
      </c>
    </row>
    <row r="16" spans="1:20" x14ac:dyDescent="0.2">
      <c r="A16" t="s">
        <v>63</v>
      </c>
      <c r="B16" t="s">
        <v>172</v>
      </c>
      <c r="C16" t="s">
        <v>103</v>
      </c>
      <c r="D16">
        <v>-328367</v>
      </c>
      <c r="E16">
        <v>-70379</v>
      </c>
      <c r="S16" t="str">
        <f t="shared" ca="1" si="0"/>
        <v/>
      </c>
    </row>
    <row r="17" spans="1:19" x14ac:dyDescent="0.2">
      <c r="A17" t="s">
        <v>61</v>
      </c>
      <c r="B17" t="s">
        <v>173</v>
      </c>
      <c r="S17" t="str">
        <f t="shared" ca="1" si="0"/>
        <v/>
      </c>
    </row>
    <row r="18" spans="1:19" x14ac:dyDescent="0.2">
      <c r="A18" t="s">
        <v>63</v>
      </c>
      <c r="B18" t="s">
        <v>174</v>
      </c>
      <c r="C18" t="s">
        <v>103</v>
      </c>
      <c r="D18">
        <v>89115</v>
      </c>
      <c r="E18">
        <v>22474</v>
      </c>
      <c r="S18" t="str">
        <f t="shared" ca="1" si="0"/>
        <v/>
      </c>
    </row>
    <row r="19" spans="1:19" x14ac:dyDescent="0.2">
      <c r="A19" t="s">
        <v>63</v>
      </c>
      <c r="B19" t="s">
        <v>175</v>
      </c>
      <c r="C19" t="s">
        <v>103</v>
      </c>
      <c r="D19">
        <v>-17685</v>
      </c>
      <c r="E19">
        <v>7076</v>
      </c>
      <c r="S19" t="str">
        <f t="shared" ca="1" si="0"/>
        <v/>
      </c>
    </row>
    <row r="20" spans="1:19" x14ac:dyDescent="0.2">
      <c r="A20" t="s">
        <v>63</v>
      </c>
      <c r="B20" t="s">
        <v>176</v>
      </c>
      <c r="D20">
        <v>984</v>
      </c>
      <c r="E20">
        <v>9833</v>
      </c>
      <c r="S20" t="str">
        <f t="shared" ca="1" si="0"/>
        <v/>
      </c>
    </row>
    <row r="21" spans="1:19" x14ac:dyDescent="0.2">
      <c r="A21" t="s">
        <v>105</v>
      </c>
      <c r="B21" t="s">
        <v>177</v>
      </c>
      <c r="D21">
        <v>-248924</v>
      </c>
      <c r="E21">
        <v>-72941</v>
      </c>
      <c r="R21" t="s">
        <v>178</v>
      </c>
      <c r="S21" t="str">
        <f t="shared" ca="1" si="0"/>
        <v>✓</v>
      </c>
    </row>
    <row r="22" spans="1:19" x14ac:dyDescent="0.2">
      <c r="A22" t="s">
        <v>81</v>
      </c>
      <c r="B22" t="s">
        <v>179</v>
      </c>
      <c r="D22">
        <v>982030</v>
      </c>
      <c r="E22">
        <v>947031</v>
      </c>
      <c r="R22" t="s">
        <v>180</v>
      </c>
      <c r="S22" t="str">
        <f t="shared" ca="1" si="0"/>
        <v>✓</v>
      </c>
    </row>
    <row r="23" spans="1:19" x14ac:dyDescent="0.2">
      <c r="S23" t="str">
        <f t="shared" ca="1" si="0"/>
        <v/>
      </c>
    </row>
    <row r="24" spans="1:19" x14ac:dyDescent="0.2">
      <c r="S24" t="str">
        <f t="shared" ca="1" si="0"/>
        <v/>
      </c>
    </row>
    <row r="25" spans="1:19" x14ac:dyDescent="0.2">
      <c r="S25" t="str">
        <f t="shared" ca="1" si="0"/>
        <v/>
      </c>
    </row>
    <row r="26" spans="1:19" x14ac:dyDescent="0.2">
      <c r="S26" t="str">
        <f t="shared" ca="1" si="0"/>
        <v/>
      </c>
    </row>
    <row r="27" spans="1:19" x14ac:dyDescent="0.2">
      <c r="S27" t="str">
        <f t="shared" ca="1" si="0"/>
        <v/>
      </c>
    </row>
    <row r="28" spans="1:19" x14ac:dyDescent="0.2">
      <c r="S28" t="str">
        <f t="shared" ca="1" si="0"/>
        <v/>
      </c>
    </row>
    <row r="29" spans="1:19" x14ac:dyDescent="0.2">
      <c r="S29" t="str">
        <f t="shared" ca="1" si="0"/>
        <v/>
      </c>
    </row>
    <row r="30" spans="1:19" x14ac:dyDescent="0.2">
      <c r="S30" t="str">
        <f t="shared" ca="1" si="0"/>
        <v/>
      </c>
    </row>
    <row r="31" spans="1:19" x14ac:dyDescent="0.2">
      <c r="S31" t="str">
        <f t="shared" ca="1" si="0"/>
        <v/>
      </c>
    </row>
    <row r="32" spans="1:19" x14ac:dyDescent="0.2">
      <c r="S32" t="str">
        <f t="shared" ca="1" si="0"/>
        <v/>
      </c>
    </row>
    <row r="33" spans="19:19" x14ac:dyDescent="0.2">
      <c r="S33" t="str">
        <f t="shared" ca="1" si="0"/>
        <v/>
      </c>
    </row>
    <row r="34" spans="19:19" x14ac:dyDescent="0.2">
      <c r="S34" t="str">
        <f t="shared" ca="1" si="0"/>
        <v/>
      </c>
    </row>
    <row r="35" spans="19:19" x14ac:dyDescent="0.2">
      <c r="S35" t="str">
        <f t="shared" ca="1" si="0"/>
        <v/>
      </c>
    </row>
    <row r="36" spans="19:19" x14ac:dyDescent="0.2">
      <c r="S36" t="str">
        <f t="shared" ca="1" si="0"/>
        <v/>
      </c>
    </row>
    <row r="37" spans="19:19" x14ac:dyDescent="0.2">
      <c r="S37" t="str">
        <f t="shared" ca="1" si="0"/>
        <v/>
      </c>
    </row>
    <row r="38" spans="19:19" x14ac:dyDescent="0.2">
      <c r="S38" t="str">
        <f t="shared" ca="1" si="0"/>
        <v/>
      </c>
    </row>
    <row r="39" spans="19:19" x14ac:dyDescent="0.2">
      <c r="S39" t="str">
        <f t="shared" ca="1" si="0"/>
        <v/>
      </c>
    </row>
    <row r="40" spans="19:19" x14ac:dyDescent="0.2">
      <c r="S40" t="str">
        <f t="shared" ca="1" si="0"/>
        <v/>
      </c>
    </row>
    <row r="41" spans="19:19" x14ac:dyDescent="0.2">
      <c r="S41" t="str">
        <f t="shared" ca="1" si="0"/>
        <v/>
      </c>
    </row>
    <row r="42" spans="19:19" x14ac:dyDescent="0.2">
      <c r="S42" t="str">
        <f t="shared" ref="S42:S73" ca="1" si="1"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 spans="19:19" x14ac:dyDescent="0.2">
      <c r="S43" t="str">
        <f t="shared" ca="1" si="1"/>
        <v/>
      </c>
    </row>
    <row r="44" spans="19:19" x14ac:dyDescent="0.2">
      <c r="S44" t="str">
        <f t="shared" ca="1" si="1"/>
        <v/>
      </c>
    </row>
    <row r="45" spans="19:19" x14ac:dyDescent="0.2">
      <c r="S45" t="str">
        <f t="shared" ca="1" si="1"/>
        <v/>
      </c>
    </row>
    <row r="46" spans="19:19" x14ac:dyDescent="0.2">
      <c r="S46" t="str">
        <f t="shared" ca="1" si="1"/>
        <v/>
      </c>
    </row>
    <row r="47" spans="19:19" x14ac:dyDescent="0.2">
      <c r="S47" t="str">
        <f t="shared" ca="1" si="1"/>
        <v/>
      </c>
    </row>
    <row r="48" spans="19:19" x14ac:dyDescent="0.2">
      <c r="S48" t="str">
        <f t="shared" ca="1" si="1"/>
        <v/>
      </c>
    </row>
    <row r="49" spans="19:19" x14ac:dyDescent="0.2">
      <c r="S49" t="str">
        <f t="shared" ca="1" si="1"/>
        <v/>
      </c>
    </row>
    <row r="50" spans="19:19" x14ac:dyDescent="0.2">
      <c r="S50" t="str">
        <f t="shared" ca="1" si="1"/>
        <v/>
      </c>
    </row>
    <row r="51" spans="19:19" x14ac:dyDescent="0.2">
      <c r="S51" t="str">
        <f t="shared" ca="1" si="1"/>
        <v/>
      </c>
    </row>
    <row r="52" spans="19:19" x14ac:dyDescent="0.2">
      <c r="S52" t="str">
        <f t="shared" ca="1" si="1"/>
        <v/>
      </c>
    </row>
    <row r="53" spans="19:19" x14ac:dyDescent="0.2">
      <c r="S53" t="str">
        <f t="shared" ca="1" si="1"/>
        <v/>
      </c>
    </row>
    <row r="54" spans="19:19" x14ac:dyDescent="0.2">
      <c r="S54" t="str">
        <f t="shared" ca="1" si="1"/>
        <v/>
      </c>
    </row>
    <row r="55" spans="19:19" x14ac:dyDescent="0.2">
      <c r="S55" t="str">
        <f t="shared" ca="1" si="1"/>
        <v/>
      </c>
    </row>
    <row r="56" spans="19:19" x14ac:dyDescent="0.2">
      <c r="S56" t="str">
        <f t="shared" ca="1" si="1"/>
        <v/>
      </c>
    </row>
    <row r="57" spans="19:19" x14ac:dyDescent="0.2">
      <c r="S57" t="str">
        <f t="shared" ca="1" si="1"/>
        <v/>
      </c>
    </row>
    <row r="58" spans="19:19" x14ac:dyDescent="0.2">
      <c r="S58" t="str">
        <f t="shared" ca="1" si="1"/>
        <v/>
      </c>
    </row>
    <row r="59" spans="19:19" x14ac:dyDescent="0.2">
      <c r="S59" t="str">
        <f t="shared" ca="1" si="1"/>
        <v/>
      </c>
    </row>
    <row r="60" spans="19:19" x14ac:dyDescent="0.2">
      <c r="S60" t="str">
        <f t="shared" ca="1" si="1"/>
        <v/>
      </c>
    </row>
    <row r="61" spans="19:19" x14ac:dyDescent="0.2">
      <c r="S61" t="str">
        <f t="shared" ca="1" si="1"/>
        <v/>
      </c>
    </row>
    <row r="62" spans="19:19" x14ac:dyDescent="0.2">
      <c r="S62" t="str">
        <f t="shared" ca="1" si="1"/>
        <v/>
      </c>
    </row>
    <row r="63" spans="19:19" x14ac:dyDescent="0.2">
      <c r="S63" t="str">
        <f t="shared" ca="1" si="1"/>
        <v/>
      </c>
    </row>
    <row r="64" spans="19:19" x14ac:dyDescent="0.2">
      <c r="S64" t="str">
        <f t="shared" ca="1" si="1"/>
        <v/>
      </c>
    </row>
    <row r="65" spans="19:19" x14ac:dyDescent="0.2">
      <c r="S65" t="str">
        <f t="shared" ca="1" si="1"/>
        <v/>
      </c>
    </row>
    <row r="66" spans="19:19" x14ac:dyDescent="0.2">
      <c r="S66" t="str">
        <f t="shared" ca="1" si="1"/>
        <v/>
      </c>
    </row>
    <row r="67" spans="19:19" x14ac:dyDescent="0.2">
      <c r="S67" t="str">
        <f t="shared" ca="1" si="1"/>
        <v/>
      </c>
    </row>
    <row r="68" spans="19:19" x14ac:dyDescent="0.2">
      <c r="S68" t="str">
        <f t="shared" ca="1" si="1"/>
        <v/>
      </c>
    </row>
    <row r="69" spans="19:19" x14ac:dyDescent="0.2">
      <c r="S69" t="str">
        <f t="shared" ca="1" si="1"/>
        <v/>
      </c>
    </row>
    <row r="70" spans="19:19" x14ac:dyDescent="0.2">
      <c r="S70" t="str">
        <f t="shared" ca="1" si="1"/>
        <v/>
      </c>
    </row>
    <row r="71" spans="19:19" x14ac:dyDescent="0.2">
      <c r="S71" t="str">
        <f t="shared" ca="1" si="1"/>
        <v/>
      </c>
    </row>
    <row r="72" spans="19:19" x14ac:dyDescent="0.2">
      <c r="S72" t="str">
        <f t="shared" ca="1" si="1"/>
        <v/>
      </c>
    </row>
    <row r="73" spans="19:19" x14ac:dyDescent="0.2">
      <c r="S73" t="str">
        <f t="shared" ca="1" si="1"/>
        <v/>
      </c>
    </row>
    <row r="74" spans="19:19" x14ac:dyDescent="0.2">
      <c r="S74" t="str">
        <f t="shared" ref="S74:S105" ca="1" si="2"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 spans="19:19" x14ac:dyDescent="0.2">
      <c r="S75" t="str">
        <f t="shared" ca="1" si="2"/>
        <v/>
      </c>
    </row>
    <row r="76" spans="19:19" x14ac:dyDescent="0.2">
      <c r="S76" t="str">
        <f t="shared" ca="1" si="2"/>
        <v/>
      </c>
    </row>
    <row r="77" spans="19:19" x14ac:dyDescent="0.2">
      <c r="S77" t="str">
        <f t="shared" ca="1" si="2"/>
        <v/>
      </c>
    </row>
    <row r="78" spans="19:19" x14ac:dyDescent="0.2">
      <c r="S78" t="str">
        <f t="shared" ca="1" si="2"/>
        <v/>
      </c>
    </row>
    <row r="79" spans="19:19" x14ac:dyDescent="0.2">
      <c r="S79" t="str">
        <f t="shared" ca="1" si="2"/>
        <v/>
      </c>
    </row>
    <row r="80" spans="19:19" x14ac:dyDescent="0.2">
      <c r="S80" t="str">
        <f t="shared" ca="1" si="2"/>
        <v/>
      </c>
    </row>
    <row r="81" spans="19:19" x14ac:dyDescent="0.2">
      <c r="S81" t="str">
        <f t="shared" ca="1" si="2"/>
        <v/>
      </c>
    </row>
    <row r="82" spans="19:19" x14ac:dyDescent="0.2">
      <c r="S82" t="str">
        <f t="shared" ca="1" si="2"/>
        <v/>
      </c>
    </row>
    <row r="83" spans="19:19" x14ac:dyDescent="0.2">
      <c r="S83" t="str">
        <f t="shared" ca="1" si="2"/>
        <v/>
      </c>
    </row>
    <row r="84" spans="19:19" x14ac:dyDescent="0.2">
      <c r="S84" t="str">
        <f t="shared" ca="1" si="2"/>
        <v/>
      </c>
    </row>
    <row r="85" spans="19:19" x14ac:dyDescent="0.2">
      <c r="S85" t="str">
        <f t="shared" ca="1" si="2"/>
        <v/>
      </c>
    </row>
    <row r="86" spans="19:19" x14ac:dyDescent="0.2">
      <c r="S86" t="str">
        <f t="shared" ca="1" si="2"/>
        <v/>
      </c>
    </row>
    <row r="87" spans="19:19" x14ac:dyDescent="0.2">
      <c r="S87" t="str">
        <f t="shared" ca="1" si="2"/>
        <v/>
      </c>
    </row>
    <row r="88" spans="19:19" x14ac:dyDescent="0.2">
      <c r="S88" t="str">
        <f t="shared" ca="1" si="2"/>
        <v/>
      </c>
    </row>
    <row r="89" spans="19:19" x14ac:dyDescent="0.2">
      <c r="S89" t="str">
        <f t="shared" ca="1" si="2"/>
        <v/>
      </c>
    </row>
    <row r="90" spans="19:19" x14ac:dyDescent="0.2">
      <c r="S90" t="str">
        <f t="shared" ca="1" si="2"/>
        <v/>
      </c>
    </row>
    <row r="91" spans="19:19" x14ac:dyDescent="0.2">
      <c r="S91" t="str">
        <f t="shared" ca="1" si="2"/>
        <v/>
      </c>
    </row>
    <row r="92" spans="19:19" x14ac:dyDescent="0.2">
      <c r="S92" t="str">
        <f t="shared" ca="1" si="2"/>
        <v/>
      </c>
    </row>
    <row r="93" spans="19:19" x14ac:dyDescent="0.2">
      <c r="S93" t="str">
        <f t="shared" ca="1" si="2"/>
        <v/>
      </c>
    </row>
    <row r="94" spans="19:19" x14ac:dyDescent="0.2">
      <c r="S94" t="str">
        <f t="shared" ca="1" si="2"/>
        <v/>
      </c>
    </row>
    <row r="95" spans="19:19" x14ac:dyDescent="0.2">
      <c r="S95" t="str">
        <f t="shared" ca="1" si="2"/>
        <v/>
      </c>
    </row>
    <row r="96" spans="19:19" x14ac:dyDescent="0.2">
      <c r="S96" t="str">
        <f t="shared" ca="1" si="2"/>
        <v/>
      </c>
    </row>
    <row r="97" spans="19:19" x14ac:dyDescent="0.2">
      <c r="S97" t="str">
        <f t="shared" ca="1" si="2"/>
        <v/>
      </c>
    </row>
    <row r="98" spans="19:19" x14ac:dyDescent="0.2">
      <c r="S98" t="str">
        <f t="shared" ca="1" si="2"/>
        <v/>
      </c>
    </row>
    <row r="99" spans="19:19" x14ac:dyDescent="0.2">
      <c r="S99" t="str">
        <f t="shared" ca="1" si="2"/>
        <v/>
      </c>
    </row>
    <row r="100" spans="19:19" x14ac:dyDescent="0.2">
      <c r="S100" t="str">
        <f t="shared" ca="1" si="2"/>
        <v/>
      </c>
    </row>
    <row r="101" spans="19:19" x14ac:dyDescent="0.2">
      <c r="S101" t="str">
        <f t="shared" ca="1" si="2"/>
        <v/>
      </c>
    </row>
    <row r="102" spans="19:19" x14ac:dyDescent="0.2">
      <c r="S102" t="str">
        <f t="shared" ca="1" si="2"/>
        <v/>
      </c>
    </row>
    <row r="103" spans="19:19" x14ac:dyDescent="0.2">
      <c r="S103" t="str">
        <f t="shared" ca="1" si="2"/>
        <v/>
      </c>
    </row>
    <row r="104" spans="19:19" x14ac:dyDescent="0.2">
      <c r="S104" t="str">
        <f t="shared" ca="1" si="2"/>
        <v/>
      </c>
    </row>
    <row r="105" spans="19:19" x14ac:dyDescent="0.2">
      <c r="S105" t="str">
        <f t="shared" ca="1" si="2"/>
        <v/>
      </c>
    </row>
    <row r="106" spans="19:19" x14ac:dyDescent="0.2">
      <c r="S106" t="str">
        <f t="shared" ref="S106:S137" ca="1" si="3"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 spans="19:19" x14ac:dyDescent="0.2">
      <c r="S107" t="str">
        <f t="shared" ca="1" si="3"/>
        <v/>
      </c>
    </row>
    <row r="108" spans="19:19" x14ac:dyDescent="0.2">
      <c r="S108" t="str">
        <f t="shared" ca="1" si="3"/>
        <v/>
      </c>
    </row>
    <row r="109" spans="19:19" x14ac:dyDescent="0.2">
      <c r="S109" t="str">
        <f t="shared" ca="1" si="3"/>
        <v/>
      </c>
    </row>
    <row r="110" spans="19:19" x14ac:dyDescent="0.2">
      <c r="S110" t="str">
        <f t="shared" ca="1" si="3"/>
        <v/>
      </c>
    </row>
    <row r="111" spans="19:19" x14ac:dyDescent="0.2">
      <c r="S111" t="str">
        <f t="shared" ca="1" si="3"/>
        <v/>
      </c>
    </row>
    <row r="112" spans="19:19" x14ac:dyDescent="0.2">
      <c r="S112" t="str">
        <f t="shared" ca="1" si="3"/>
        <v/>
      </c>
    </row>
    <row r="113" spans="19:19" x14ac:dyDescent="0.2">
      <c r="S113" t="str">
        <f t="shared" ca="1" si="3"/>
        <v/>
      </c>
    </row>
    <row r="114" spans="19:19" x14ac:dyDescent="0.2">
      <c r="S114" t="str">
        <f t="shared" ca="1" si="3"/>
        <v/>
      </c>
    </row>
    <row r="115" spans="19:19" x14ac:dyDescent="0.2">
      <c r="S115" t="str">
        <f t="shared" ca="1" si="3"/>
        <v/>
      </c>
    </row>
    <row r="116" spans="19:19" x14ac:dyDescent="0.2">
      <c r="S116" t="str">
        <f t="shared" ca="1" si="3"/>
        <v/>
      </c>
    </row>
    <row r="117" spans="19:19" x14ac:dyDescent="0.2">
      <c r="S117" t="str">
        <f t="shared" ca="1" si="3"/>
        <v/>
      </c>
    </row>
    <row r="118" spans="19:19" x14ac:dyDescent="0.2">
      <c r="S118" t="str">
        <f t="shared" ca="1" si="3"/>
        <v/>
      </c>
    </row>
    <row r="119" spans="19:19" x14ac:dyDescent="0.2">
      <c r="S119" t="str">
        <f t="shared" ca="1" si="3"/>
        <v/>
      </c>
    </row>
    <row r="120" spans="19:19" x14ac:dyDescent="0.2">
      <c r="S120" t="str">
        <f t="shared" ca="1" si="3"/>
        <v/>
      </c>
    </row>
    <row r="121" spans="19:19" x14ac:dyDescent="0.2">
      <c r="S121" t="str">
        <f t="shared" ca="1" si="3"/>
        <v/>
      </c>
    </row>
    <row r="122" spans="19:19" x14ac:dyDescent="0.2">
      <c r="S122" t="str">
        <f t="shared" ca="1" si="3"/>
        <v/>
      </c>
    </row>
    <row r="123" spans="19:19" x14ac:dyDescent="0.2">
      <c r="S123" t="str">
        <f t="shared" ca="1" si="3"/>
        <v/>
      </c>
    </row>
    <row r="124" spans="19:19" x14ac:dyDescent="0.2">
      <c r="S124" t="str">
        <f t="shared" ca="1" si="3"/>
        <v/>
      </c>
    </row>
    <row r="125" spans="19:19" x14ac:dyDescent="0.2">
      <c r="S125" t="str">
        <f t="shared" ca="1" si="3"/>
        <v/>
      </c>
    </row>
    <row r="126" spans="19:19" x14ac:dyDescent="0.2">
      <c r="S126" t="str">
        <f t="shared" ca="1" si="3"/>
        <v/>
      </c>
    </row>
    <row r="127" spans="19:19" x14ac:dyDescent="0.2">
      <c r="S127" t="str">
        <f t="shared" ca="1" si="3"/>
        <v/>
      </c>
    </row>
    <row r="128" spans="19:19" x14ac:dyDescent="0.2">
      <c r="S128" t="str">
        <f t="shared" ca="1" si="3"/>
        <v/>
      </c>
    </row>
    <row r="129" spans="19:19" x14ac:dyDescent="0.2">
      <c r="S129" t="str">
        <f t="shared" ca="1" si="3"/>
        <v/>
      </c>
    </row>
    <row r="130" spans="19:19" x14ac:dyDescent="0.2">
      <c r="S130" t="str">
        <f t="shared" ca="1" si="3"/>
        <v/>
      </c>
    </row>
    <row r="131" spans="19:19" x14ac:dyDescent="0.2">
      <c r="S131" t="str">
        <f t="shared" ca="1" si="3"/>
        <v/>
      </c>
    </row>
    <row r="132" spans="19:19" x14ac:dyDescent="0.2">
      <c r="S132" t="str">
        <f t="shared" ca="1" si="3"/>
        <v/>
      </c>
    </row>
    <row r="133" spans="19:19" x14ac:dyDescent="0.2">
      <c r="S133" t="str">
        <f t="shared" ca="1" si="3"/>
        <v/>
      </c>
    </row>
    <row r="134" spans="19:19" x14ac:dyDescent="0.2">
      <c r="S134" t="str">
        <f t="shared" ca="1" si="3"/>
        <v/>
      </c>
    </row>
    <row r="135" spans="19:19" x14ac:dyDescent="0.2">
      <c r="S135" t="str">
        <f t="shared" ca="1" si="3"/>
        <v/>
      </c>
    </row>
    <row r="136" spans="19:19" x14ac:dyDescent="0.2">
      <c r="S136" t="str">
        <f t="shared" ca="1" si="3"/>
        <v/>
      </c>
    </row>
    <row r="137" spans="19:19" x14ac:dyDescent="0.2">
      <c r="S137" t="str">
        <f t="shared" ca="1" si="3"/>
        <v/>
      </c>
    </row>
    <row r="138" spans="19:19" x14ac:dyDescent="0.2">
      <c r="S138" t="str">
        <f t="shared" ref="S138:S169" ca="1" si="4"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 spans="19:19" x14ac:dyDescent="0.2">
      <c r="S139" t="str">
        <f t="shared" ca="1" si="4"/>
        <v/>
      </c>
    </row>
    <row r="140" spans="19:19" x14ac:dyDescent="0.2">
      <c r="S140" t="str">
        <f t="shared" ca="1" si="4"/>
        <v/>
      </c>
    </row>
    <row r="141" spans="19:19" x14ac:dyDescent="0.2">
      <c r="S141" t="str">
        <f t="shared" ca="1" si="4"/>
        <v/>
      </c>
    </row>
    <row r="142" spans="19:19" x14ac:dyDescent="0.2">
      <c r="S142" t="str">
        <f t="shared" ca="1" si="4"/>
        <v/>
      </c>
    </row>
    <row r="143" spans="19:19" x14ac:dyDescent="0.2">
      <c r="S143" t="str">
        <f t="shared" ca="1" si="4"/>
        <v/>
      </c>
    </row>
    <row r="144" spans="19:19" x14ac:dyDescent="0.2">
      <c r="S144" t="str">
        <f t="shared" ca="1" si="4"/>
        <v/>
      </c>
    </row>
    <row r="145" spans="19:19" x14ac:dyDescent="0.2">
      <c r="S145" t="str">
        <f t="shared" ca="1" si="4"/>
        <v/>
      </c>
    </row>
    <row r="146" spans="19:19" x14ac:dyDescent="0.2">
      <c r="S146" t="str">
        <f t="shared" ca="1" si="4"/>
        <v/>
      </c>
    </row>
    <row r="147" spans="19:19" x14ac:dyDescent="0.2">
      <c r="S147" t="str">
        <f t="shared" ca="1" si="4"/>
        <v/>
      </c>
    </row>
    <row r="148" spans="19:19" x14ac:dyDescent="0.2">
      <c r="S148" t="str">
        <f t="shared" ca="1" si="4"/>
        <v/>
      </c>
    </row>
    <row r="149" spans="19:19" x14ac:dyDescent="0.2">
      <c r="S149" t="str">
        <f t="shared" ca="1" si="4"/>
        <v/>
      </c>
    </row>
    <row r="150" spans="19:19" x14ac:dyDescent="0.2">
      <c r="S150" t="str">
        <f t="shared" ca="1" si="4"/>
        <v/>
      </c>
    </row>
    <row r="151" spans="19:19" x14ac:dyDescent="0.2">
      <c r="S151" t="str">
        <f t="shared" ca="1" si="4"/>
        <v/>
      </c>
    </row>
    <row r="152" spans="19:19" x14ac:dyDescent="0.2">
      <c r="S152" t="str">
        <f t="shared" ca="1" si="4"/>
        <v/>
      </c>
    </row>
    <row r="153" spans="19:19" x14ac:dyDescent="0.2">
      <c r="S153" t="str">
        <f t="shared" ca="1" si="4"/>
        <v/>
      </c>
    </row>
    <row r="154" spans="19:19" x14ac:dyDescent="0.2">
      <c r="S154" t="str">
        <f t="shared" ca="1" si="4"/>
        <v/>
      </c>
    </row>
    <row r="155" spans="19:19" x14ac:dyDescent="0.2">
      <c r="S155" t="str">
        <f t="shared" ca="1" si="4"/>
        <v/>
      </c>
    </row>
    <row r="156" spans="19:19" x14ac:dyDescent="0.2">
      <c r="S156" t="str">
        <f t="shared" ca="1" si="4"/>
        <v/>
      </c>
    </row>
    <row r="157" spans="19:19" x14ac:dyDescent="0.2">
      <c r="S157" t="str">
        <f t="shared" ca="1" si="4"/>
        <v/>
      </c>
    </row>
    <row r="158" spans="19:19" x14ac:dyDescent="0.2">
      <c r="S158" t="str">
        <f t="shared" ca="1" si="4"/>
        <v/>
      </c>
    </row>
    <row r="159" spans="19:19" x14ac:dyDescent="0.2">
      <c r="S159" t="str">
        <f t="shared" ca="1" si="4"/>
        <v/>
      </c>
    </row>
    <row r="160" spans="19:19" x14ac:dyDescent="0.2">
      <c r="S160" t="str">
        <f t="shared" ca="1" si="4"/>
        <v/>
      </c>
    </row>
    <row r="161" spans="19:19" x14ac:dyDescent="0.2">
      <c r="S161" t="str">
        <f t="shared" ca="1" si="4"/>
        <v/>
      </c>
    </row>
    <row r="162" spans="19:19" x14ac:dyDescent="0.2">
      <c r="S162" t="str">
        <f t="shared" ca="1" si="4"/>
        <v/>
      </c>
    </row>
    <row r="163" spans="19:19" x14ac:dyDescent="0.2">
      <c r="S163" t="str">
        <f t="shared" ca="1" si="4"/>
        <v/>
      </c>
    </row>
    <row r="164" spans="19:19" x14ac:dyDescent="0.2">
      <c r="S164" t="str">
        <f t="shared" ca="1" si="4"/>
        <v/>
      </c>
    </row>
    <row r="165" spans="19:19" x14ac:dyDescent="0.2">
      <c r="S165" t="str">
        <f t="shared" ca="1" si="4"/>
        <v/>
      </c>
    </row>
    <row r="166" spans="19:19" x14ac:dyDescent="0.2">
      <c r="S166" t="str">
        <f t="shared" ca="1" si="4"/>
        <v/>
      </c>
    </row>
    <row r="167" spans="19:19" x14ac:dyDescent="0.2">
      <c r="S167" t="str">
        <f t="shared" ca="1" si="4"/>
        <v/>
      </c>
    </row>
    <row r="168" spans="19:19" x14ac:dyDescent="0.2">
      <c r="S168" t="str">
        <f t="shared" ca="1" si="4"/>
        <v/>
      </c>
    </row>
    <row r="169" spans="19:19" x14ac:dyDescent="0.2">
      <c r="S169" t="str">
        <f t="shared" ca="1" si="4"/>
        <v/>
      </c>
    </row>
    <row r="170" spans="19:19" x14ac:dyDescent="0.2">
      <c r="S170" t="str">
        <f t="shared" ref="S170:S201" ca="1" si="5"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 spans="19:19" x14ac:dyDescent="0.2">
      <c r="S171" t="str">
        <f t="shared" ca="1" si="5"/>
        <v/>
      </c>
    </row>
    <row r="172" spans="19:19" x14ac:dyDescent="0.2">
      <c r="S172" t="str">
        <f t="shared" ca="1" si="5"/>
        <v/>
      </c>
    </row>
    <row r="173" spans="19:19" x14ac:dyDescent="0.2">
      <c r="S173" t="str">
        <f t="shared" ca="1" si="5"/>
        <v/>
      </c>
    </row>
    <row r="174" spans="19:19" x14ac:dyDescent="0.2">
      <c r="S174" t="str">
        <f t="shared" ca="1" si="5"/>
        <v/>
      </c>
    </row>
    <row r="175" spans="19:19" x14ac:dyDescent="0.2">
      <c r="S175" t="str">
        <f t="shared" ca="1" si="5"/>
        <v/>
      </c>
    </row>
    <row r="176" spans="19:19" x14ac:dyDescent="0.2">
      <c r="S176" t="str">
        <f t="shared" ca="1" si="5"/>
        <v/>
      </c>
    </row>
    <row r="177" spans="19:19" x14ac:dyDescent="0.2">
      <c r="S177" t="str">
        <f t="shared" ca="1" si="5"/>
        <v/>
      </c>
    </row>
    <row r="178" spans="19:19" x14ac:dyDescent="0.2">
      <c r="S178" t="str">
        <f t="shared" ca="1" si="5"/>
        <v/>
      </c>
    </row>
    <row r="179" spans="19:19" x14ac:dyDescent="0.2">
      <c r="S179" t="str">
        <f t="shared" ca="1" si="5"/>
        <v/>
      </c>
    </row>
    <row r="180" spans="19:19" x14ac:dyDescent="0.2">
      <c r="S180" t="str">
        <f t="shared" ca="1" si="5"/>
        <v/>
      </c>
    </row>
    <row r="181" spans="19:19" x14ac:dyDescent="0.2">
      <c r="S181" t="str">
        <f t="shared" ca="1" si="5"/>
        <v/>
      </c>
    </row>
    <row r="182" spans="19:19" x14ac:dyDescent="0.2">
      <c r="S182" t="str">
        <f t="shared" ca="1" si="5"/>
        <v/>
      </c>
    </row>
    <row r="183" spans="19:19" x14ac:dyDescent="0.2">
      <c r="S183" t="str">
        <f t="shared" ca="1" si="5"/>
        <v/>
      </c>
    </row>
    <row r="184" spans="19:19" x14ac:dyDescent="0.2">
      <c r="S184" t="str">
        <f t="shared" ca="1" si="5"/>
        <v/>
      </c>
    </row>
    <row r="185" spans="19:19" x14ac:dyDescent="0.2">
      <c r="S185" t="str">
        <f t="shared" ca="1" si="5"/>
        <v/>
      </c>
    </row>
    <row r="186" spans="19:19" x14ac:dyDescent="0.2">
      <c r="S186" t="str">
        <f t="shared" ca="1" si="5"/>
        <v/>
      </c>
    </row>
    <row r="187" spans="19:19" x14ac:dyDescent="0.2">
      <c r="S187" t="str">
        <f t="shared" ca="1" si="5"/>
        <v/>
      </c>
    </row>
    <row r="188" spans="19:19" x14ac:dyDescent="0.2">
      <c r="S188" t="str">
        <f t="shared" ca="1" si="5"/>
        <v/>
      </c>
    </row>
    <row r="189" spans="19:19" x14ac:dyDescent="0.2">
      <c r="S189" t="str">
        <f t="shared" ca="1" si="5"/>
        <v/>
      </c>
    </row>
    <row r="190" spans="19:19" x14ac:dyDescent="0.2">
      <c r="S190" t="str">
        <f t="shared" ca="1" si="5"/>
        <v/>
      </c>
    </row>
    <row r="191" spans="19:19" x14ac:dyDescent="0.2">
      <c r="S191" t="str">
        <f t="shared" ca="1" si="5"/>
        <v/>
      </c>
    </row>
    <row r="192" spans="19:19" x14ac:dyDescent="0.2">
      <c r="S192" t="str">
        <f t="shared" ca="1" si="5"/>
        <v/>
      </c>
    </row>
    <row r="193" spans="19:19" x14ac:dyDescent="0.2">
      <c r="S193" t="str">
        <f t="shared" ca="1" si="5"/>
        <v/>
      </c>
    </row>
    <row r="194" spans="19:19" x14ac:dyDescent="0.2">
      <c r="S194" t="str">
        <f t="shared" ca="1" si="5"/>
        <v/>
      </c>
    </row>
    <row r="195" spans="19:19" x14ac:dyDescent="0.2">
      <c r="S195" t="str">
        <f t="shared" ca="1" si="5"/>
        <v/>
      </c>
    </row>
    <row r="196" spans="19:19" x14ac:dyDescent="0.2">
      <c r="S196" t="str">
        <f t="shared" ca="1" si="5"/>
        <v/>
      </c>
    </row>
    <row r="197" spans="19:19" x14ac:dyDescent="0.2">
      <c r="S197" t="str">
        <f t="shared" ca="1" si="5"/>
        <v/>
      </c>
    </row>
    <row r="198" spans="19:19" x14ac:dyDescent="0.2">
      <c r="S198" t="str">
        <f t="shared" ca="1" si="5"/>
        <v/>
      </c>
    </row>
    <row r="199" spans="19:19" x14ac:dyDescent="0.2">
      <c r="S199" t="str">
        <f t="shared" ca="1" si="5"/>
        <v/>
      </c>
    </row>
    <row r="200" spans="19:19" x14ac:dyDescent="0.2">
      <c r="S200" t="str">
        <f t="shared" ca="1" si="5"/>
        <v/>
      </c>
    </row>
    <row r="201" spans="19:19" x14ac:dyDescent="0.2">
      <c r="S201" t="str">
        <f t="shared" ca="1" si="5"/>
        <v/>
      </c>
    </row>
    <row r="202" spans="19:19" x14ac:dyDescent="0.2">
      <c r="S202" t="str">
        <f t="shared" ref="S202:S209" ca="1" si="6"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 spans="19:19" x14ac:dyDescent="0.2">
      <c r="S203" t="str">
        <f t="shared" ca="1" si="6"/>
        <v/>
      </c>
    </row>
    <row r="204" spans="19:19" x14ac:dyDescent="0.2">
      <c r="S204" t="str">
        <f t="shared" ca="1" si="6"/>
        <v/>
      </c>
    </row>
    <row r="205" spans="19:19" x14ac:dyDescent="0.2">
      <c r="S205" t="str">
        <f t="shared" ca="1" si="6"/>
        <v/>
      </c>
    </row>
    <row r="206" spans="19:19" x14ac:dyDescent="0.2">
      <c r="S206" t="str">
        <f t="shared" ca="1" si="6"/>
        <v/>
      </c>
    </row>
    <row r="207" spans="19:19" x14ac:dyDescent="0.2">
      <c r="S207" t="str">
        <f t="shared" ca="1" si="6"/>
        <v/>
      </c>
    </row>
    <row r="208" spans="19:19" x14ac:dyDescent="0.2">
      <c r="S208" t="str">
        <f t="shared" ca="1" si="6"/>
        <v/>
      </c>
    </row>
    <row r="209" spans="19:19" x14ac:dyDescent="0.2">
      <c r="S209" t="str">
        <f t="shared" ca="1" si="6"/>
        <v/>
      </c>
    </row>
  </sheetData>
  <conditionalFormatting sqref="S10:S209">
    <cfRule type="cellIs" dxfId="5" priority="1" operator="equal">
      <formula>"✗"</formula>
    </cfRule>
    <cfRule type="cellIs" dxfId="4" priority="2" operator="equal">
      <formula>"✓"</formula>
    </cfRule>
  </conditionalFormatting>
  <dataValidations count="3">
    <dataValidation type="list" sqref="B1" xr:uid="{00000000-0002-0000-0400-000000000000}">
      <formula1>"financial_position,income,comprehensive_income,income_and_comprehensive_income,changes_in_equity,changes_in_net_assets,cash_flows,other"</formula1>
    </dataValidation>
    <dataValidation type="list" sqref="B5" xr:uid="{00000000-0002-0000-0400-000001000000}">
      <formula1>"1,1000,1000000"</formula1>
    </dataValidation>
    <dataValidation type="list" allowBlank="1" sqref="A10:A209" xr:uid="{00000000-0002-0000-0400-000002000000}">
      <formula1>"section,item,subtotal,total"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52" customWidth="1"/>
    <col min="3" max="3" width="9" customWidth="1"/>
    <col min="4" max="17" width="16" customWidth="1"/>
    <col min="18" max="18" width="14" customWidth="1"/>
    <col min="19" max="19" width="7" customWidth="1"/>
    <col min="20" max="20" width="30" customWidth="1"/>
  </cols>
  <sheetData>
    <row r="1" spans="1:20" x14ac:dyDescent="0.2">
      <c r="A1" s="3" t="s">
        <v>40</v>
      </c>
      <c r="B1" s="4" t="s">
        <v>181</v>
      </c>
    </row>
    <row r="2" spans="1:20" x14ac:dyDescent="0.2">
      <c r="A2" s="3" t="s">
        <v>42</v>
      </c>
      <c r="B2" s="4" t="s">
        <v>182</v>
      </c>
    </row>
    <row r="3" spans="1:20" x14ac:dyDescent="0.2">
      <c r="A3" s="3" t="s">
        <v>44</v>
      </c>
      <c r="B3" s="4" t="s">
        <v>80</v>
      </c>
      <c r="C3" t="s">
        <v>46</v>
      </c>
    </row>
    <row r="4" spans="1:20" x14ac:dyDescent="0.2">
      <c r="A4" s="3" t="s">
        <v>47</v>
      </c>
      <c r="B4" s="4" t="s">
        <v>48</v>
      </c>
    </row>
    <row r="5" spans="1:20" x14ac:dyDescent="0.2">
      <c r="A5" s="3" t="s">
        <v>49</v>
      </c>
      <c r="B5" s="4">
        <v>1000</v>
      </c>
      <c r="C5" t="s">
        <v>50</v>
      </c>
    </row>
    <row r="7" spans="1:20" ht="32" x14ac:dyDescent="0.2">
      <c r="A7" s="5" t="s">
        <v>51</v>
      </c>
      <c r="B7" s="5" t="s">
        <v>52</v>
      </c>
      <c r="C7" s="5" t="s">
        <v>53</v>
      </c>
      <c r="D7" s="5" t="s">
        <v>98</v>
      </c>
      <c r="E7" s="5" t="s">
        <v>100</v>
      </c>
      <c r="F7" s="5" t="s">
        <v>102</v>
      </c>
      <c r="G7" s="5" t="s">
        <v>104</v>
      </c>
      <c r="H7" s="5" t="s">
        <v>183</v>
      </c>
      <c r="I7" s="5" t="s">
        <v>108</v>
      </c>
      <c r="J7" s="5" t="s">
        <v>110</v>
      </c>
      <c r="K7" s="5"/>
      <c r="L7" s="5"/>
      <c r="M7" s="5"/>
      <c r="N7" s="5"/>
      <c r="O7" s="5"/>
      <c r="P7" s="5"/>
      <c r="Q7" s="5"/>
      <c r="R7" s="5" t="s">
        <v>56</v>
      </c>
      <c r="S7" s="5" t="s">
        <v>57</v>
      </c>
      <c r="T7" s="5" t="s">
        <v>39</v>
      </c>
    </row>
    <row r="8" spans="1:20" x14ac:dyDescent="0.2">
      <c r="C8" t="s">
        <v>58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20" x14ac:dyDescent="0.2">
      <c r="C9" t="s">
        <v>60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20" x14ac:dyDescent="0.2">
      <c r="A10" t="s">
        <v>61</v>
      </c>
      <c r="B10" t="s">
        <v>184</v>
      </c>
      <c r="S10" t="str">
        <f t="shared" ref="S10:S41" ca="1" si="0"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","")&amp;",")),E$10:E$209))))&lt;=1,TRUE),IF(OR(ISNUMBER(F10),F10="-"),ABS(N(F10)-(IF(ISNUMBER(SEARCH(":",SUBSTITUTE($R10," ",""))),SUM(INDIRECT("F"&amp;LEFT(SUBSTITUTE($R10," ",""),SEARCH(":",SUBSTITUTE($R10," ",""))-1)&amp;":F"&amp;MID(SUBSTITUTE($R10," ",""),SEARCH(":",SUBSTITUTE($R10," ",""))+1,10))),SUMPRODUCT(--ISNUMBER(SEARCH(","&amp;ROW(F$10:F$209)&amp;",",","&amp;SUBSTITUTE($R10," ","")&amp;",")),F$10:F$209)-SUMPRODUCT(--ISNUMBER(SEARCH(",-"&amp;ROW(F$10:F$209)&amp;",",","&amp;SUBSTITUTE($R10," ","")&amp;",")),F$10:F$209))))&lt;=1,TRUE),IF(OR(ISNUMBER(G10),G10="-"),ABS(N(G10)-(IF(ISNUMBER(SEARCH(":",SUBSTITUTE($R10," ",""))),SUM(INDIRECT("G"&amp;LEFT(SUBSTITUTE($R10," ",""),SEARCH(":",SUBSTITUTE($R10," ",""))-1)&amp;":G"&amp;MID(SUBSTITUTE($R10," ",""),SEARCH(":",SUBSTITUTE($R10," ",""))+1,10))),SUMPRODUCT(--ISNUMBER(SEARCH(","&amp;ROW(G$10:G$209)&amp;",",","&amp;SUBSTITUTE($R10," ","")&amp;",")),G$10:G$209)-SUMPRODUCT(--ISNUMBER(SEARCH(",-"&amp;ROW(G$10:G$209)&amp;",",","&amp;SUBSTITUTE($R10," ","")&amp;",")),G$10:G$209))))&lt;=1,TRUE),IF(OR(ISNUMBER(H10),H10="-"),ABS(N(H10)-(IF(ISNUMBER(SEARCH(":",SUBSTITUTE($R10," ",""))),SUM(INDIRECT("H"&amp;LEFT(SUBSTITUTE($R10," ",""),SEARCH(":",SUBSTITUTE($R10," ",""))-1)&amp;":H"&amp;MID(SUBSTITUTE($R10," ",""),SEARCH(":",SUBSTITUTE($R10," ",""))+1,10))),SUMPRODUCT(--ISNUMBER(SEARCH(","&amp;ROW(H$10:H$209)&amp;",",","&amp;SUBSTITUTE($R10," ","")&amp;",")),H$10:H$209)-SUMPRODUCT(--ISNUMBER(SEARCH(",-"&amp;ROW(H$10:H$209)&amp;",",","&amp;SUBSTITUTE($R10," ","")&amp;",")),H$10:H$209))))&lt;=1,TRUE),IF(OR(ISNUMBER(I10),I10="-"),ABS(N(I10)-(IF(ISNUMBER(SEARCH(":",SUBSTITUTE($R10," ",""))),SUM(INDIRECT("I"&amp;LEFT(SUBSTITUTE($R10," ",""),SEARCH(":",SUBSTITUTE($R10," ",""))-1)&amp;":I"&amp;MID(SUBSTITUTE($R10," ",""),SEARCH(":",SUBSTITUTE($R10," ",""))+1,10))),SUMPRODUCT(--ISNUMBER(SEARCH(","&amp;ROW(I$10:I$209)&amp;",",","&amp;SUBSTITUTE($R10," ","")&amp;",")),I$10:I$209)-SUMPRODUCT(--ISNUMBER(SEARCH(",-"&amp;ROW(I$10:I$209)&amp;",",","&amp;SUBSTITUTE($R10," ","")&amp;",")),I$10:I$209))))&lt;=1,TRUE),IF(OR(ISNUMBER(J10),J10="-"),ABS(N(J10)-(IF(ISNUMBER(SEARCH(":",SUBSTITUTE($R10," ",""))),SUM(INDIRECT("J"&amp;LEFT(SUBSTITUTE($R10," ",""),SEARCH(":",SUBSTITUTE($R10," ",""))-1)&amp;":J"&amp;MID(SUBSTITUTE($R10," ",""),SEARCH(":",SUBSTITUTE($R10," ",""))+1,10))),SUMPRODUCT(--ISNUMBER(SEARCH(","&amp;ROW(J$10:J$209)&amp;",",","&amp;SUBSTITUTE($R10," ","")&amp;",")),J$10:J$209)-SUMPRODUCT(--ISNUMBER(SEARCH(",-"&amp;ROW(J$10:J$209)&amp;",",","&amp;SUBSTITUTE($R10," ","")&amp;",")),J$10:J$209))))&lt;=1,TRUE)),"✓","✗"))</f>
        <v/>
      </c>
    </row>
    <row r="11" spans="1:20" x14ac:dyDescent="0.2">
      <c r="A11" t="s">
        <v>63</v>
      </c>
      <c r="B11" t="s">
        <v>185</v>
      </c>
      <c r="D11">
        <v>8200000</v>
      </c>
      <c r="E11">
        <v>3449537</v>
      </c>
      <c r="F11">
        <v>-844399</v>
      </c>
      <c r="G11">
        <v>1735356</v>
      </c>
      <c r="H11">
        <v>12540494</v>
      </c>
      <c r="I11">
        <v>3875000</v>
      </c>
      <c r="J11">
        <v>16415494</v>
      </c>
      <c r="S11" t="str">
        <f t="shared" ca="1" si="0"/>
        <v/>
      </c>
    </row>
    <row r="12" spans="1:20" x14ac:dyDescent="0.2">
      <c r="A12" t="s">
        <v>63</v>
      </c>
      <c r="B12" t="s">
        <v>160</v>
      </c>
      <c r="D12" t="s">
        <v>148</v>
      </c>
      <c r="E12" t="s">
        <v>148</v>
      </c>
      <c r="F12" t="s">
        <v>148</v>
      </c>
      <c r="G12">
        <v>1230954</v>
      </c>
      <c r="H12">
        <v>1230954</v>
      </c>
      <c r="I12" t="s">
        <v>148</v>
      </c>
      <c r="J12">
        <v>1230954</v>
      </c>
      <c r="S12" t="str">
        <f t="shared" ca="1" si="0"/>
        <v/>
      </c>
    </row>
    <row r="13" spans="1:20" x14ac:dyDescent="0.2">
      <c r="A13" t="s">
        <v>63</v>
      </c>
      <c r="B13" t="s">
        <v>186</v>
      </c>
      <c r="D13" t="s">
        <v>148</v>
      </c>
      <c r="E13" t="s">
        <v>148</v>
      </c>
      <c r="F13">
        <v>-248924</v>
      </c>
      <c r="G13" t="s">
        <v>148</v>
      </c>
      <c r="H13">
        <v>-248924</v>
      </c>
      <c r="I13" t="s">
        <v>148</v>
      </c>
      <c r="J13">
        <v>-248924</v>
      </c>
      <c r="S13" t="str">
        <f t="shared" ca="1" si="0"/>
        <v/>
      </c>
    </row>
    <row r="14" spans="1:20" x14ac:dyDescent="0.2">
      <c r="A14" t="s">
        <v>63</v>
      </c>
      <c r="B14" t="s">
        <v>187</v>
      </c>
      <c r="C14" t="s">
        <v>103</v>
      </c>
      <c r="D14" t="s">
        <v>148</v>
      </c>
      <c r="E14" t="s">
        <v>148</v>
      </c>
      <c r="F14">
        <v>-143</v>
      </c>
      <c r="G14">
        <v>143</v>
      </c>
      <c r="H14" t="s">
        <v>148</v>
      </c>
      <c r="I14" t="s">
        <v>148</v>
      </c>
      <c r="J14" t="s">
        <v>148</v>
      </c>
      <c r="S14" t="str">
        <f t="shared" ca="1" si="0"/>
        <v/>
      </c>
    </row>
    <row r="15" spans="1:20" x14ac:dyDescent="0.2">
      <c r="A15" t="s">
        <v>105</v>
      </c>
      <c r="B15" t="s">
        <v>179</v>
      </c>
      <c r="D15" t="s">
        <v>148</v>
      </c>
      <c r="E15" t="s">
        <v>148</v>
      </c>
      <c r="F15">
        <v>-249067</v>
      </c>
      <c r="G15">
        <v>1231097</v>
      </c>
      <c r="H15">
        <v>982030</v>
      </c>
      <c r="I15" t="s">
        <v>148</v>
      </c>
      <c r="J15">
        <v>982030</v>
      </c>
      <c r="R15" t="s">
        <v>188</v>
      </c>
      <c r="S15" t="str">
        <f t="shared" ca="1" si="0"/>
        <v>✓</v>
      </c>
    </row>
    <row r="16" spans="1:20" x14ac:dyDescent="0.2">
      <c r="A16" t="s">
        <v>63</v>
      </c>
      <c r="B16" t="s">
        <v>189</v>
      </c>
      <c r="C16" t="s">
        <v>99</v>
      </c>
      <c r="D16">
        <v>2050000</v>
      </c>
      <c r="E16">
        <v>-2050000</v>
      </c>
      <c r="F16" t="s">
        <v>148</v>
      </c>
      <c r="G16" t="s">
        <v>148</v>
      </c>
      <c r="H16" t="s">
        <v>148</v>
      </c>
      <c r="I16" t="s">
        <v>148</v>
      </c>
      <c r="J16" t="s">
        <v>148</v>
      </c>
      <c r="S16" t="str">
        <f t="shared" ca="1" si="0"/>
        <v/>
      </c>
    </row>
    <row r="17" spans="1:19" x14ac:dyDescent="0.2">
      <c r="A17" t="s">
        <v>63</v>
      </c>
      <c r="B17" t="s">
        <v>190</v>
      </c>
      <c r="C17" t="s">
        <v>101</v>
      </c>
      <c r="D17" t="s">
        <v>148</v>
      </c>
      <c r="E17">
        <v>307739</v>
      </c>
      <c r="F17" t="s">
        <v>148</v>
      </c>
      <c r="G17">
        <v>-307739</v>
      </c>
      <c r="H17" t="s">
        <v>148</v>
      </c>
      <c r="I17" t="s">
        <v>148</v>
      </c>
      <c r="J17" t="s">
        <v>148</v>
      </c>
      <c r="S17" t="str">
        <f t="shared" ca="1" si="0"/>
        <v/>
      </c>
    </row>
    <row r="18" spans="1:19" x14ac:dyDescent="0.2">
      <c r="A18" t="s">
        <v>63</v>
      </c>
      <c r="B18" t="s">
        <v>191</v>
      </c>
      <c r="D18" t="s">
        <v>148</v>
      </c>
      <c r="E18" t="s">
        <v>148</v>
      </c>
      <c r="F18" t="s">
        <v>148</v>
      </c>
      <c r="G18">
        <v>-195827</v>
      </c>
      <c r="H18">
        <v>-195827</v>
      </c>
      <c r="I18" t="s">
        <v>148</v>
      </c>
      <c r="J18">
        <v>-195827</v>
      </c>
      <c r="S18" t="str">
        <f t="shared" ca="1" si="0"/>
        <v/>
      </c>
    </row>
    <row r="19" spans="1:19" x14ac:dyDescent="0.2">
      <c r="A19" t="s">
        <v>81</v>
      </c>
      <c r="B19" t="s">
        <v>192</v>
      </c>
      <c r="D19">
        <v>10250000</v>
      </c>
      <c r="E19">
        <v>1707276</v>
      </c>
      <c r="F19">
        <v>-1093466</v>
      </c>
      <c r="G19">
        <v>2462887</v>
      </c>
      <c r="H19">
        <v>13326697</v>
      </c>
      <c r="I19">
        <v>3875000</v>
      </c>
      <c r="J19">
        <v>17201697</v>
      </c>
      <c r="R19" t="s">
        <v>193</v>
      </c>
      <c r="S19" t="str">
        <f t="shared" ca="1" si="0"/>
        <v>✓</v>
      </c>
    </row>
    <row r="20" spans="1:19" x14ac:dyDescent="0.2">
      <c r="A20" t="s">
        <v>61</v>
      </c>
      <c r="B20" t="s">
        <v>194</v>
      </c>
      <c r="S20" t="str">
        <f t="shared" ca="1" si="0"/>
        <v/>
      </c>
    </row>
    <row r="21" spans="1:19" x14ac:dyDescent="0.2">
      <c r="A21" t="s">
        <v>63</v>
      </c>
      <c r="B21" t="s">
        <v>195</v>
      </c>
      <c r="D21">
        <v>8200000</v>
      </c>
      <c r="E21">
        <v>3194545</v>
      </c>
      <c r="F21">
        <v>-755297</v>
      </c>
      <c r="G21">
        <v>1094793</v>
      </c>
      <c r="H21">
        <v>11734041</v>
      </c>
      <c r="I21">
        <v>1875000</v>
      </c>
      <c r="J21">
        <v>13609041</v>
      </c>
      <c r="S21" t="str">
        <f t="shared" ca="1" si="0"/>
        <v/>
      </c>
    </row>
    <row r="22" spans="1:19" x14ac:dyDescent="0.2">
      <c r="A22" t="s">
        <v>63</v>
      </c>
      <c r="B22" t="s">
        <v>160</v>
      </c>
      <c r="D22" t="s">
        <v>148</v>
      </c>
      <c r="E22" t="s">
        <v>148</v>
      </c>
      <c r="F22" t="s">
        <v>148</v>
      </c>
      <c r="G22">
        <v>1019972</v>
      </c>
      <c r="H22">
        <v>1019972</v>
      </c>
      <c r="I22" t="s">
        <v>148</v>
      </c>
      <c r="J22">
        <v>1019972</v>
      </c>
      <c r="S22" t="str">
        <f t="shared" ca="1" si="0"/>
        <v/>
      </c>
    </row>
    <row r="23" spans="1:19" x14ac:dyDescent="0.2">
      <c r="A23" t="s">
        <v>63</v>
      </c>
      <c r="B23" t="s">
        <v>186</v>
      </c>
      <c r="D23" t="s">
        <v>148</v>
      </c>
      <c r="E23" t="s">
        <v>148</v>
      </c>
      <c r="F23">
        <v>-72941</v>
      </c>
      <c r="G23" t="s">
        <v>148</v>
      </c>
      <c r="H23">
        <v>-72941</v>
      </c>
      <c r="I23" t="s">
        <v>148</v>
      </c>
      <c r="J23">
        <v>-72941</v>
      </c>
      <c r="S23" t="str">
        <f t="shared" ca="1" si="0"/>
        <v/>
      </c>
    </row>
    <row r="24" spans="1:19" x14ac:dyDescent="0.2">
      <c r="A24" t="s">
        <v>63</v>
      </c>
      <c r="B24" t="s">
        <v>187</v>
      </c>
      <c r="C24" t="s">
        <v>103</v>
      </c>
      <c r="D24" t="s">
        <v>148</v>
      </c>
      <c r="E24" t="s">
        <v>148</v>
      </c>
      <c r="F24">
        <v>-16161</v>
      </c>
      <c r="G24">
        <v>16161</v>
      </c>
      <c r="H24" t="s">
        <v>148</v>
      </c>
      <c r="I24" t="s">
        <v>148</v>
      </c>
      <c r="J24" t="s">
        <v>148</v>
      </c>
      <c r="S24" t="str">
        <f t="shared" ca="1" si="0"/>
        <v/>
      </c>
    </row>
    <row r="25" spans="1:19" x14ac:dyDescent="0.2">
      <c r="A25" t="s">
        <v>105</v>
      </c>
      <c r="B25" t="s">
        <v>179</v>
      </c>
      <c r="D25" t="s">
        <v>148</v>
      </c>
      <c r="E25" t="s">
        <v>148</v>
      </c>
      <c r="F25">
        <v>-89102</v>
      </c>
      <c r="G25">
        <v>1036133</v>
      </c>
      <c r="H25">
        <v>947031</v>
      </c>
      <c r="I25" t="s">
        <v>148</v>
      </c>
      <c r="J25">
        <v>947031</v>
      </c>
      <c r="R25" t="s">
        <v>196</v>
      </c>
      <c r="S25" t="str">
        <f t="shared" ca="1" si="0"/>
        <v>✓</v>
      </c>
    </row>
    <row r="26" spans="1:19" x14ac:dyDescent="0.2">
      <c r="A26" t="s">
        <v>63</v>
      </c>
      <c r="B26" t="s">
        <v>190</v>
      </c>
      <c r="C26" t="s">
        <v>101</v>
      </c>
      <c r="D26" t="s">
        <v>148</v>
      </c>
      <c r="E26">
        <v>254992</v>
      </c>
      <c r="F26" t="s">
        <v>148</v>
      </c>
      <c r="G26">
        <v>-254992</v>
      </c>
      <c r="H26" t="s">
        <v>148</v>
      </c>
      <c r="I26" t="s">
        <v>148</v>
      </c>
      <c r="J26" t="s">
        <v>148</v>
      </c>
      <c r="S26" t="str">
        <f t="shared" ca="1" si="0"/>
        <v/>
      </c>
    </row>
    <row r="27" spans="1:19" x14ac:dyDescent="0.2">
      <c r="A27" t="s">
        <v>63</v>
      </c>
      <c r="B27" t="s">
        <v>197</v>
      </c>
      <c r="C27" t="s">
        <v>109</v>
      </c>
      <c r="D27" t="s">
        <v>148</v>
      </c>
      <c r="E27" t="s">
        <v>148</v>
      </c>
      <c r="F27" t="s">
        <v>148</v>
      </c>
      <c r="G27" t="s">
        <v>148</v>
      </c>
      <c r="H27" t="s">
        <v>148</v>
      </c>
      <c r="I27">
        <v>2000000</v>
      </c>
      <c r="J27">
        <v>2000000</v>
      </c>
      <c r="S27" t="str">
        <f t="shared" ca="1" si="0"/>
        <v/>
      </c>
    </row>
    <row r="28" spans="1:19" x14ac:dyDescent="0.2">
      <c r="A28" t="s">
        <v>63</v>
      </c>
      <c r="B28" t="s">
        <v>198</v>
      </c>
      <c r="D28" t="s">
        <v>148</v>
      </c>
      <c r="E28" t="s">
        <v>148</v>
      </c>
      <c r="F28" t="s">
        <v>148</v>
      </c>
      <c r="G28">
        <v>-2812</v>
      </c>
      <c r="H28">
        <v>-2812</v>
      </c>
      <c r="I28" t="s">
        <v>148</v>
      </c>
      <c r="J28">
        <v>-2812</v>
      </c>
      <c r="S28" t="str">
        <f t="shared" ca="1" si="0"/>
        <v/>
      </c>
    </row>
    <row r="29" spans="1:19" x14ac:dyDescent="0.2">
      <c r="A29" t="s">
        <v>63</v>
      </c>
      <c r="B29" t="s">
        <v>191</v>
      </c>
      <c r="D29" t="s">
        <v>148</v>
      </c>
      <c r="E29" t="s">
        <v>148</v>
      </c>
      <c r="F29" t="s">
        <v>148</v>
      </c>
      <c r="G29">
        <v>-137766</v>
      </c>
      <c r="H29">
        <v>-137766</v>
      </c>
      <c r="I29" t="s">
        <v>148</v>
      </c>
      <c r="J29">
        <v>-137766</v>
      </c>
      <c r="S29" t="str">
        <f t="shared" ca="1" si="0"/>
        <v/>
      </c>
    </row>
    <row r="30" spans="1:19" x14ac:dyDescent="0.2">
      <c r="A30" t="s">
        <v>81</v>
      </c>
      <c r="B30" t="s">
        <v>199</v>
      </c>
      <c r="D30">
        <v>8200000</v>
      </c>
      <c r="E30">
        <v>3449537</v>
      </c>
      <c r="F30">
        <v>-844399</v>
      </c>
      <c r="G30">
        <v>1735356</v>
      </c>
      <c r="H30">
        <v>12540494</v>
      </c>
      <c r="I30">
        <v>3875000</v>
      </c>
      <c r="J30">
        <v>16415494</v>
      </c>
      <c r="R30" t="s">
        <v>200</v>
      </c>
      <c r="S30" t="str">
        <f t="shared" ca="1" si="0"/>
        <v>✓</v>
      </c>
    </row>
    <row r="31" spans="1:19" x14ac:dyDescent="0.2">
      <c r="S31" t="str">
        <f t="shared" ca="1" si="0"/>
        <v/>
      </c>
    </row>
    <row r="32" spans="1:19" x14ac:dyDescent="0.2">
      <c r="S32" t="str">
        <f t="shared" ca="1" si="0"/>
        <v/>
      </c>
    </row>
    <row r="33" spans="19:19" x14ac:dyDescent="0.2">
      <c r="S33" t="str">
        <f t="shared" ca="1" si="0"/>
        <v/>
      </c>
    </row>
    <row r="34" spans="19:19" x14ac:dyDescent="0.2">
      <c r="S34" t="str">
        <f t="shared" ca="1" si="0"/>
        <v/>
      </c>
    </row>
    <row r="35" spans="19:19" x14ac:dyDescent="0.2">
      <c r="S35" t="str">
        <f t="shared" ca="1" si="0"/>
        <v/>
      </c>
    </row>
    <row r="36" spans="19:19" x14ac:dyDescent="0.2">
      <c r="S36" t="str">
        <f t="shared" ca="1" si="0"/>
        <v/>
      </c>
    </row>
    <row r="37" spans="19:19" x14ac:dyDescent="0.2">
      <c r="S37" t="str">
        <f t="shared" ca="1" si="0"/>
        <v/>
      </c>
    </row>
    <row r="38" spans="19:19" x14ac:dyDescent="0.2">
      <c r="S38" t="str">
        <f t="shared" ca="1" si="0"/>
        <v/>
      </c>
    </row>
    <row r="39" spans="19:19" x14ac:dyDescent="0.2">
      <c r="S39" t="str">
        <f t="shared" ca="1" si="0"/>
        <v/>
      </c>
    </row>
    <row r="40" spans="19:19" x14ac:dyDescent="0.2">
      <c r="S40" t="str">
        <f t="shared" ca="1" si="0"/>
        <v/>
      </c>
    </row>
    <row r="41" spans="19:19" x14ac:dyDescent="0.2">
      <c r="S41" t="str">
        <f t="shared" ca="1" si="0"/>
        <v/>
      </c>
    </row>
    <row r="42" spans="19:19" x14ac:dyDescent="0.2">
      <c r="S42" t="str">
        <f t="shared" ref="S42:S73" ca="1" si="1"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","")&amp;",")),E$10:E$209))))&lt;=1,TRUE),IF(OR(ISNUMBER(F42),F42="-"),ABS(N(F42)-(IF(ISNUMBER(SEARCH(":",SUBSTITUTE($R42," ",""))),SUM(INDIRECT("F"&amp;LEFT(SUBSTITUTE($R42," ",""),SEARCH(":",SUBSTITUTE($R42," ",""))-1)&amp;":F"&amp;MID(SUBSTITUTE($R42," ",""),SEARCH(":",SUBSTITUTE($R42," ",""))+1,10))),SUMPRODUCT(--ISNUMBER(SEARCH(","&amp;ROW(F$10:F$209)&amp;",",","&amp;SUBSTITUTE($R42," ","")&amp;",")),F$10:F$209)-SUMPRODUCT(--ISNUMBER(SEARCH(",-"&amp;ROW(F$10:F$209)&amp;",",","&amp;SUBSTITUTE($R42," ","")&amp;",")),F$10:F$209))))&lt;=1,TRUE),IF(OR(ISNUMBER(G42),G42="-"),ABS(N(G42)-(IF(ISNUMBER(SEARCH(":",SUBSTITUTE($R42," ",""))),SUM(INDIRECT("G"&amp;LEFT(SUBSTITUTE($R42," ",""),SEARCH(":",SUBSTITUTE($R42," ",""))-1)&amp;":G"&amp;MID(SUBSTITUTE($R42," ",""),SEARCH(":",SUBSTITUTE($R42," ",""))+1,10))),SUMPRODUCT(--ISNUMBER(SEARCH(","&amp;ROW(G$10:G$209)&amp;",",","&amp;SUBSTITUTE($R42," ","")&amp;",")),G$10:G$209)-SUMPRODUCT(--ISNUMBER(SEARCH(",-"&amp;ROW(G$10:G$209)&amp;",",","&amp;SUBSTITUTE($R42," ","")&amp;",")),G$10:G$209))))&lt;=1,TRUE),IF(OR(ISNUMBER(H42),H42="-"),ABS(N(H42)-(IF(ISNUMBER(SEARCH(":",SUBSTITUTE($R42," ",""))),SUM(INDIRECT("H"&amp;LEFT(SUBSTITUTE($R42," ",""),SEARCH(":",SUBSTITUTE($R42," ",""))-1)&amp;":H"&amp;MID(SUBSTITUTE($R42," ",""),SEARCH(":",SUBSTITUTE($R42," ",""))+1,10))),SUMPRODUCT(--ISNUMBER(SEARCH(","&amp;ROW(H$10:H$209)&amp;",",","&amp;SUBSTITUTE($R42," ","")&amp;",")),H$10:H$209)-SUMPRODUCT(--ISNUMBER(SEARCH(",-"&amp;ROW(H$10:H$209)&amp;",",","&amp;SUBSTITUTE($R42," ","")&amp;",")),H$10:H$209))))&lt;=1,TRUE),IF(OR(ISNUMBER(I42),I42="-"),ABS(N(I42)-(IF(ISNUMBER(SEARCH(":",SUBSTITUTE($R42," ",""))),SUM(INDIRECT("I"&amp;LEFT(SUBSTITUTE($R42," ",""),SEARCH(":",SUBSTITUTE($R42," ",""))-1)&amp;":I"&amp;MID(SUBSTITUTE($R42," ",""),SEARCH(":",SUBSTITUTE($R42," ",""))+1,10))),SUMPRODUCT(--ISNUMBER(SEARCH(","&amp;ROW(I$10:I$209)&amp;",",","&amp;SUBSTITUTE($R42," ","")&amp;",")),I$10:I$209)-SUMPRODUCT(--ISNUMBER(SEARCH(",-"&amp;ROW(I$10:I$209)&amp;",",","&amp;SUBSTITUTE($R42," ","")&amp;",")),I$10:I$209))))&lt;=1,TRUE),IF(OR(ISNUMBER(J42),J42="-"),ABS(N(J42)-(IF(ISNUMBER(SEARCH(":",SUBSTITUTE($R42," ",""))),SUM(INDIRECT("J"&amp;LEFT(SUBSTITUTE($R42," ",""),SEARCH(":",SUBSTITUTE($R42," ",""))-1)&amp;":J"&amp;MID(SUBSTITUTE($R42," ",""),SEARCH(":",SUBSTITUTE($R42," ",""))+1,10))),SUMPRODUCT(--ISNUMBER(SEARCH(","&amp;ROW(J$10:J$209)&amp;",",","&amp;SUBSTITUTE($R42," ","")&amp;",")),J$10:J$209)-SUMPRODUCT(--ISNUMBER(SEARCH(",-"&amp;ROW(J$10:J$209)&amp;",",","&amp;SUBSTITUTE($R42," ","")&amp;",")),J$10:J$209))))&lt;=1,TRUE)),"✓","✗"))</f>
        <v/>
      </c>
    </row>
    <row r="43" spans="19:19" x14ac:dyDescent="0.2">
      <c r="S43" t="str">
        <f t="shared" ca="1" si="1"/>
        <v/>
      </c>
    </row>
    <row r="44" spans="19:19" x14ac:dyDescent="0.2">
      <c r="S44" t="str">
        <f t="shared" ca="1" si="1"/>
        <v/>
      </c>
    </row>
    <row r="45" spans="19:19" x14ac:dyDescent="0.2">
      <c r="S45" t="str">
        <f t="shared" ca="1" si="1"/>
        <v/>
      </c>
    </row>
    <row r="46" spans="19:19" x14ac:dyDescent="0.2">
      <c r="S46" t="str">
        <f t="shared" ca="1" si="1"/>
        <v/>
      </c>
    </row>
    <row r="47" spans="19:19" x14ac:dyDescent="0.2">
      <c r="S47" t="str">
        <f t="shared" ca="1" si="1"/>
        <v/>
      </c>
    </row>
    <row r="48" spans="19:19" x14ac:dyDescent="0.2">
      <c r="S48" t="str">
        <f t="shared" ca="1" si="1"/>
        <v/>
      </c>
    </row>
    <row r="49" spans="19:19" x14ac:dyDescent="0.2">
      <c r="S49" t="str">
        <f t="shared" ca="1" si="1"/>
        <v/>
      </c>
    </row>
    <row r="50" spans="19:19" x14ac:dyDescent="0.2">
      <c r="S50" t="str">
        <f t="shared" ca="1" si="1"/>
        <v/>
      </c>
    </row>
    <row r="51" spans="19:19" x14ac:dyDescent="0.2">
      <c r="S51" t="str">
        <f t="shared" ca="1" si="1"/>
        <v/>
      </c>
    </row>
    <row r="52" spans="19:19" x14ac:dyDescent="0.2">
      <c r="S52" t="str">
        <f t="shared" ca="1" si="1"/>
        <v/>
      </c>
    </row>
    <row r="53" spans="19:19" x14ac:dyDescent="0.2">
      <c r="S53" t="str">
        <f t="shared" ca="1" si="1"/>
        <v/>
      </c>
    </row>
    <row r="54" spans="19:19" x14ac:dyDescent="0.2">
      <c r="S54" t="str">
        <f t="shared" ca="1" si="1"/>
        <v/>
      </c>
    </row>
    <row r="55" spans="19:19" x14ac:dyDescent="0.2">
      <c r="S55" t="str">
        <f t="shared" ca="1" si="1"/>
        <v/>
      </c>
    </row>
    <row r="56" spans="19:19" x14ac:dyDescent="0.2">
      <c r="S56" t="str">
        <f t="shared" ca="1" si="1"/>
        <v/>
      </c>
    </row>
    <row r="57" spans="19:19" x14ac:dyDescent="0.2">
      <c r="S57" t="str">
        <f t="shared" ca="1" si="1"/>
        <v/>
      </c>
    </row>
    <row r="58" spans="19:19" x14ac:dyDescent="0.2">
      <c r="S58" t="str">
        <f t="shared" ca="1" si="1"/>
        <v/>
      </c>
    </row>
    <row r="59" spans="19:19" x14ac:dyDescent="0.2">
      <c r="S59" t="str">
        <f t="shared" ca="1" si="1"/>
        <v/>
      </c>
    </row>
    <row r="60" spans="19:19" x14ac:dyDescent="0.2">
      <c r="S60" t="str">
        <f t="shared" ca="1" si="1"/>
        <v/>
      </c>
    </row>
    <row r="61" spans="19:19" x14ac:dyDescent="0.2">
      <c r="S61" t="str">
        <f t="shared" ca="1" si="1"/>
        <v/>
      </c>
    </row>
    <row r="62" spans="19:19" x14ac:dyDescent="0.2">
      <c r="S62" t="str">
        <f t="shared" ca="1" si="1"/>
        <v/>
      </c>
    </row>
    <row r="63" spans="19:19" x14ac:dyDescent="0.2">
      <c r="S63" t="str">
        <f t="shared" ca="1" si="1"/>
        <v/>
      </c>
    </row>
    <row r="64" spans="19:19" x14ac:dyDescent="0.2">
      <c r="S64" t="str">
        <f t="shared" ca="1" si="1"/>
        <v/>
      </c>
    </row>
    <row r="65" spans="19:19" x14ac:dyDescent="0.2">
      <c r="S65" t="str">
        <f t="shared" ca="1" si="1"/>
        <v/>
      </c>
    </row>
    <row r="66" spans="19:19" x14ac:dyDescent="0.2">
      <c r="S66" t="str">
        <f t="shared" ca="1" si="1"/>
        <v/>
      </c>
    </row>
    <row r="67" spans="19:19" x14ac:dyDescent="0.2">
      <c r="S67" t="str">
        <f t="shared" ca="1" si="1"/>
        <v/>
      </c>
    </row>
    <row r="68" spans="19:19" x14ac:dyDescent="0.2">
      <c r="S68" t="str">
        <f t="shared" ca="1" si="1"/>
        <v/>
      </c>
    </row>
    <row r="69" spans="19:19" x14ac:dyDescent="0.2">
      <c r="S69" t="str">
        <f t="shared" ca="1" si="1"/>
        <v/>
      </c>
    </row>
    <row r="70" spans="19:19" x14ac:dyDescent="0.2">
      <c r="S70" t="str">
        <f t="shared" ca="1" si="1"/>
        <v/>
      </c>
    </row>
    <row r="71" spans="19:19" x14ac:dyDescent="0.2">
      <c r="S71" t="str">
        <f t="shared" ca="1" si="1"/>
        <v/>
      </c>
    </row>
    <row r="72" spans="19:19" x14ac:dyDescent="0.2">
      <c r="S72" t="str">
        <f t="shared" ca="1" si="1"/>
        <v/>
      </c>
    </row>
    <row r="73" spans="19:19" x14ac:dyDescent="0.2">
      <c r="S73" t="str">
        <f t="shared" ca="1" si="1"/>
        <v/>
      </c>
    </row>
    <row r="74" spans="19:19" x14ac:dyDescent="0.2">
      <c r="S74" t="str">
        <f t="shared" ref="S74:S105" ca="1" si="2"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","")&amp;",")),E$10:E$209))))&lt;=1,TRUE),IF(OR(ISNUMBER(F74),F74="-"),ABS(N(F74)-(IF(ISNUMBER(SEARCH(":",SUBSTITUTE($R74," ",""))),SUM(INDIRECT("F"&amp;LEFT(SUBSTITUTE($R74," ",""),SEARCH(":",SUBSTITUTE($R74," ",""))-1)&amp;":F"&amp;MID(SUBSTITUTE($R74," ",""),SEARCH(":",SUBSTITUTE($R74," ",""))+1,10))),SUMPRODUCT(--ISNUMBER(SEARCH(","&amp;ROW(F$10:F$209)&amp;",",","&amp;SUBSTITUTE($R74," ","")&amp;",")),F$10:F$209)-SUMPRODUCT(--ISNUMBER(SEARCH(",-"&amp;ROW(F$10:F$209)&amp;",",","&amp;SUBSTITUTE($R74," ","")&amp;",")),F$10:F$209))))&lt;=1,TRUE),IF(OR(ISNUMBER(G74),G74="-"),ABS(N(G74)-(IF(ISNUMBER(SEARCH(":",SUBSTITUTE($R74," ",""))),SUM(INDIRECT("G"&amp;LEFT(SUBSTITUTE($R74," ",""),SEARCH(":",SUBSTITUTE($R74," ",""))-1)&amp;":G"&amp;MID(SUBSTITUTE($R74," ",""),SEARCH(":",SUBSTITUTE($R74," ",""))+1,10))),SUMPRODUCT(--ISNUMBER(SEARCH(","&amp;ROW(G$10:G$209)&amp;",",","&amp;SUBSTITUTE($R74," ","")&amp;",")),G$10:G$209)-SUMPRODUCT(--ISNUMBER(SEARCH(",-"&amp;ROW(G$10:G$209)&amp;",",","&amp;SUBSTITUTE($R74," ","")&amp;",")),G$10:G$209))))&lt;=1,TRUE),IF(OR(ISNUMBER(H74),H74="-"),ABS(N(H74)-(IF(ISNUMBER(SEARCH(":",SUBSTITUTE($R74," ",""))),SUM(INDIRECT("H"&amp;LEFT(SUBSTITUTE($R74," ",""),SEARCH(":",SUBSTITUTE($R74," ",""))-1)&amp;":H"&amp;MID(SUBSTITUTE($R74," ",""),SEARCH(":",SUBSTITUTE($R74," ",""))+1,10))),SUMPRODUCT(--ISNUMBER(SEARCH(","&amp;ROW(H$10:H$209)&amp;",",","&amp;SUBSTITUTE($R74," ","")&amp;",")),H$10:H$209)-SUMPRODUCT(--ISNUMBER(SEARCH(",-"&amp;ROW(H$10:H$209)&amp;",",","&amp;SUBSTITUTE($R74," ","")&amp;",")),H$10:H$209))))&lt;=1,TRUE),IF(OR(ISNUMBER(I74),I74="-"),ABS(N(I74)-(IF(ISNUMBER(SEARCH(":",SUBSTITUTE($R74," ",""))),SUM(INDIRECT("I"&amp;LEFT(SUBSTITUTE($R74," ",""),SEARCH(":",SUBSTITUTE($R74," ",""))-1)&amp;":I"&amp;MID(SUBSTITUTE($R74," ",""),SEARCH(":",SUBSTITUTE($R74," ",""))+1,10))),SUMPRODUCT(--ISNUMBER(SEARCH(","&amp;ROW(I$10:I$209)&amp;",",","&amp;SUBSTITUTE($R74," ","")&amp;",")),I$10:I$209)-SUMPRODUCT(--ISNUMBER(SEARCH(",-"&amp;ROW(I$10:I$209)&amp;",",","&amp;SUBSTITUTE($R74," ","")&amp;",")),I$10:I$209))))&lt;=1,TRUE),IF(OR(ISNUMBER(J74),J74="-"),ABS(N(J74)-(IF(ISNUMBER(SEARCH(":",SUBSTITUTE($R74," ",""))),SUM(INDIRECT("J"&amp;LEFT(SUBSTITUTE($R74," ",""),SEARCH(":",SUBSTITUTE($R74," ",""))-1)&amp;":J"&amp;MID(SUBSTITUTE($R74," ",""),SEARCH(":",SUBSTITUTE($R74," ",""))+1,10))),SUMPRODUCT(--ISNUMBER(SEARCH(","&amp;ROW(J$10:J$209)&amp;",",","&amp;SUBSTITUTE($R74," ","")&amp;",")),J$10:J$209)-SUMPRODUCT(--ISNUMBER(SEARCH(",-"&amp;ROW(J$10:J$209)&amp;",",","&amp;SUBSTITUTE($R74," ","")&amp;",")),J$10:J$209))))&lt;=1,TRUE)),"✓","✗"))</f>
        <v/>
      </c>
    </row>
    <row r="75" spans="19:19" x14ac:dyDescent="0.2">
      <c r="S75" t="str">
        <f t="shared" ca="1" si="2"/>
        <v/>
      </c>
    </row>
    <row r="76" spans="19:19" x14ac:dyDescent="0.2">
      <c r="S76" t="str">
        <f t="shared" ca="1" si="2"/>
        <v/>
      </c>
    </row>
    <row r="77" spans="19:19" x14ac:dyDescent="0.2">
      <c r="S77" t="str">
        <f t="shared" ca="1" si="2"/>
        <v/>
      </c>
    </row>
    <row r="78" spans="19:19" x14ac:dyDescent="0.2">
      <c r="S78" t="str">
        <f t="shared" ca="1" si="2"/>
        <v/>
      </c>
    </row>
    <row r="79" spans="19:19" x14ac:dyDescent="0.2">
      <c r="S79" t="str">
        <f t="shared" ca="1" si="2"/>
        <v/>
      </c>
    </row>
    <row r="80" spans="19:19" x14ac:dyDescent="0.2">
      <c r="S80" t="str">
        <f t="shared" ca="1" si="2"/>
        <v/>
      </c>
    </row>
    <row r="81" spans="19:19" x14ac:dyDescent="0.2">
      <c r="S81" t="str">
        <f t="shared" ca="1" si="2"/>
        <v/>
      </c>
    </row>
    <row r="82" spans="19:19" x14ac:dyDescent="0.2">
      <c r="S82" t="str">
        <f t="shared" ca="1" si="2"/>
        <v/>
      </c>
    </row>
    <row r="83" spans="19:19" x14ac:dyDescent="0.2">
      <c r="S83" t="str">
        <f t="shared" ca="1" si="2"/>
        <v/>
      </c>
    </row>
    <row r="84" spans="19:19" x14ac:dyDescent="0.2">
      <c r="S84" t="str">
        <f t="shared" ca="1" si="2"/>
        <v/>
      </c>
    </row>
    <row r="85" spans="19:19" x14ac:dyDescent="0.2">
      <c r="S85" t="str">
        <f t="shared" ca="1" si="2"/>
        <v/>
      </c>
    </row>
    <row r="86" spans="19:19" x14ac:dyDescent="0.2">
      <c r="S86" t="str">
        <f t="shared" ca="1" si="2"/>
        <v/>
      </c>
    </row>
    <row r="87" spans="19:19" x14ac:dyDescent="0.2">
      <c r="S87" t="str">
        <f t="shared" ca="1" si="2"/>
        <v/>
      </c>
    </row>
    <row r="88" spans="19:19" x14ac:dyDescent="0.2">
      <c r="S88" t="str">
        <f t="shared" ca="1" si="2"/>
        <v/>
      </c>
    </row>
    <row r="89" spans="19:19" x14ac:dyDescent="0.2">
      <c r="S89" t="str">
        <f t="shared" ca="1" si="2"/>
        <v/>
      </c>
    </row>
    <row r="90" spans="19:19" x14ac:dyDescent="0.2">
      <c r="S90" t="str">
        <f t="shared" ca="1" si="2"/>
        <v/>
      </c>
    </row>
    <row r="91" spans="19:19" x14ac:dyDescent="0.2">
      <c r="S91" t="str">
        <f t="shared" ca="1" si="2"/>
        <v/>
      </c>
    </row>
    <row r="92" spans="19:19" x14ac:dyDescent="0.2">
      <c r="S92" t="str">
        <f t="shared" ca="1" si="2"/>
        <v/>
      </c>
    </row>
    <row r="93" spans="19:19" x14ac:dyDescent="0.2">
      <c r="S93" t="str">
        <f t="shared" ca="1" si="2"/>
        <v/>
      </c>
    </row>
    <row r="94" spans="19:19" x14ac:dyDescent="0.2">
      <c r="S94" t="str">
        <f t="shared" ca="1" si="2"/>
        <v/>
      </c>
    </row>
    <row r="95" spans="19:19" x14ac:dyDescent="0.2">
      <c r="S95" t="str">
        <f t="shared" ca="1" si="2"/>
        <v/>
      </c>
    </row>
    <row r="96" spans="19:19" x14ac:dyDescent="0.2">
      <c r="S96" t="str">
        <f t="shared" ca="1" si="2"/>
        <v/>
      </c>
    </row>
    <row r="97" spans="19:19" x14ac:dyDescent="0.2">
      <c r="S97" t="str">
        <f t="shared" ca="1" si="2"/>
        <v/>
      </c>
    </row>
    <row r="98" spans="19:19" x14ac:dyDescent="0.2">
      <c r="S98" t="str">
        <f t="shared" ca="1" si="2"/>
        <v/>
      </c>
    </row>
    <row r="99" spans="19:19" x14ac:dyDescent="0.2">
      <c r="S99" t="str">
        <f t="shared" ca="1" si="2"/>
        <v/>
      </c>
    </row>
    <row r="100" spans="19:19" x14ac:dyDescent="0.2">
      <c r="S100" t="str">
        <f t="shared" ca="1" si="2"/>
        <v/>
      </c>
    </row>
    <row r="101" spans="19:19" x14ac:dyDescent="0.2">
      <c r="S101" t="str">
        <f t="shared" ca="1" si="2"/>
        <v/>
      </c>
    </row>
    <row r="102" spans="19:19" x14ac:dyDescent="0.2">
      <c r="S102" t="str">
        <f t="shared" ca="1" si="2"/>
        <v/>
      </c>
    </row>
    <row r="103" spans="19:19" x14ac:dyDescent="0.2">
      <c r="S103" t="str">
        <f t="shared" ca="1" si="2"/>
        <v/>
      </c>
    </row>
    <row r="104" spans="19:19" x14ac:dyDescent="0.2">
      <c r="S104" t="str">
        <f t="shared" ca="1" si="2"/>
        <v/>
      </c>
    </row>
    <row r="105" spans="19:19" x14ac:dyDescent="0.2">
      <c r="S105" t="str">
        <f t="shared" ca="1" si="2"/>
        <v/>
      </c>
    </row>
    <row r="106" spans="19:19" x14ac:dyDescent="0.2">
      <c r="S106" t="str">
        <f t="shared" ref="S106:S137" ca="1" si="3"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","")&amp;",")),E$10:E$209))))&lt;=1,TRUE),IF(OR(ISNUMBER(F106),F106="-"),ABS(N(F106)-(IF(ISNUMBER(SEARCH(":",SUBSTITUTE($R106," ",""))),SUM(INDIRECT("F"&amp;LEFT(SUBSTITUTE($R106," ",""),SEARCH(":",SUBSTITUTE($R106," ",""))-1)&amp;":F"&amp;MID(SUBSTITUTE($R106," ",""),SEARCH(":",SUBSTITUTE($R106," ",""))+1,10))),SUMPRODUCT(--ISNUMBER(SEARCH(","&amp;ROW(F$10:F$209)&amp;",",","&amp;SUBSTITUTE($R106," ","")&amp;",")),F$10:F$209)-SUMPRODUCT(--ISNUMBER(SEARCH(",-"&amp;ROW(F$10:F$209)&amp;",",","&amp;SUBSTITUTE($R106," ","")&amp;",")),F$10:F$209))))&lt;=1,TRUE),IF(OR(ISNUMBER(G106),G106="-"),ABS(N(G106)-(IF(ISNUMBER(SEARCH(":",SUBSTITUTE($R106," ",""))),SUM(INDIRECT("G"&amp;LEFT(SUBSTITUTE($R106," ",""),SEARCH(":",SUBSTITUTE($R106," ",""))-1)&amp;":G"&amp;MID(SUBSTITUTE($R106," ",""),SEARCH(":",SUBSTITUTE($R106," ",""))+1,10))),SUMPRODUCT(--ISNUMBER(SEARCH(","&amp;ROW(G$10:G$209)&amp;",",","&amp;SUBSTITUTE($R106," ","")&amp;",")),G$10:G$209)-SUMPRODUCT(--ISNUMBER(SEARCH(",-"&amp;ROW(G$10:G$209)&amp;",",","&amp;SUBSTITUTE($R106," ","")&amp;",")),G$10:G$209))))&lt;=1,TRUE),IF(OR(ISNUMBER(H106),H106="-"),ABS(N(H106)-(IF(ISNUMBER(SEARCH(":",SUBSTITUTE($R106," ",""))),SUM(INDIRECT("H"&amp;LEFT(SUBSTITUTE($R106," ",""),SEARCH(":",SUBSTITUTE($R106," ",""))-1)&amp;":H"&amp;MID(SUBSTITUTE($R106," ",""),SEARCH(":",SUBSTITUTE($R106," ",""))+1,10))),SUMPRODUCT(--ISNUMBER(SEARCH(","&amp;ROW(H$10:H$209)&amp;",",","&amp;SUBSTITUTE($R106," ","")&amp;",")),H$10:H$209)-SUMPRODUCT(--ISNUMBER(SEARCH(",-"&amp;ROW(H$10:H$209)&amp;",",","&amp;SUBSTITUTE($R106," ","")&amp;",")),H$10:H$209))))&lt;=1,TRUE),IF(OR(ISNUMBER(I106),I106="-"),ABS(N(I106)-(IF(ISNUMBER(SEARCH(":",SUBSTITUTE($R106," ",""))),SUM(INDIRECT("I"&amp;LEFT(SUBSTITUTE($R106," ",""),SEARCH(":",SUBSTITUTE($R106," ",""))-1)&amp;":I"&amp;MID(SUBSTITUTE($R106," ",""),SEARCH(":",SUBSTITUTE($R106," ",""))+1,10))),SUMPRODUCT(--ISNUMBER(SEARCH(","&amp;ROW(I$10:I$209)&amp;",",","&amp;SUBSTITUTE($R106," ","")&amp;",")),I$10:I$209)-SUMPRODUCT(--ISNUMBER(SEARCH(",-"&amp;ROW(I$10:I$209)&amp;",",","&amp;SUBSTITUTE($R106," ","")&amp;",")),I$10:I$209))))&lt;=1,TRUE),IF(OR(ISNUMBER(J106),J106="-"),ABS(N(J106)-(IF(ISNUMBER(SEARCH(":",SUBSTITUTE($R106," ",""))),SUM(INDIRECT("J"&amp;LEFT(SUBSTITUTE($R106," ",""),SEARCH(":",SUBSTITUTE($R106," ",""))-1)&amp;":J"&amp;MID(SUBSTITUTE($R106," ",""),SEARCH(":",SUBSTITUTE($R106," ",""))+1,10))),SUMPRODUCT(--ISNUMBER(SEARCH(","&amp;ROW(J$10:J$209)&amp;",",","&amp;SUBSTITUTE($R106," ","")&amp;",")),J$10:J$209)-SUMPRODUCT(--ISNUMBER(SEARCH(",-"&amp;ROW(J$10:J$209)&amp;",",","&amp;SUBSTITUTE($R106," ","")&amp;",")),J$10:J$209))))&lt;=1,TRUE)),"✓","✗"))</f>
        <v/>
      </c>
    </row>
    <row r="107" spans="19:19" x14ac:dyDescent="0.2">
      <c r="S107" t="str">
        <f t="shared" ca="1" si="3"/>
        <v/>
      </c>
    </row>
    <row r="108" spans="19:19" x14ac:dyDescent="0.2">
      <c r="S108" t="str">
        <f t="shared" ca="1" si="3"/>
        <v/>
      </c>
    </row>
    <row r="109" spans="19:19" x14ac:dyDescent="0.2">
      <c r="S109" t="str">
        <f t="shared" ca="1" si="3"/>
        <v/>
      </c>
    </row>
    <row r="110" spans="19:19" x14ac:dyDescent="0.2">
      <c r="S110" t="str">
        <f t="shared" ca="1" si="3"/>
        <v/>
      </c>
    </row>
    <row r="111" spans="19:19" x14ac:dyDescent="0.2">
      <c r="S111" t="str">
        <f t="shared" ca="1" si="3"/>
        <v/>
      </c>
    </row>
    <row r="112" spans="19:19" x14ac:dyDescent="0.2">
      <c r="S112" t="str">
        <f t="shared" ca="1" si="3"/>
        <v/>
      </c>
    </row>
    <row r="113" spans="19:19" x14ac:dyDescent="0.2">
      <c r="S113" t="str">
        <f t="shared" ca="1" si="3"/>
        <v/>
      </c>
    </row>
    <row r="114" spans="19:19" x14ac:dyDescent="0.2">
      <c r="S114" t="str">
        <f t="shared" ca="1" si="3"/>
        <v/>
      </c>
    </row>
    <row r="115" spans="19:19" x14ac:dyDescent="0.2">
      <c r="S115" t="str">
        <f t="shared" ca="1" si="3"/>
        <v/>
      </c>
    </row>
    <row r="116" spans="19:19" x14ac:dyDescent="0.2">
      <c r="S116" t="str">
        <f t="shared" ca="1" si="3"/>
        <v/>
      </c>
    </row>
    <row r="117" spans="19:19" x14ac:dyDescent="0.2">
      <c r="S117" t="str">
        <f t="shared" ca="1" si="3"/>
        <v/>
      </c>
    </row>
    <row r="118" spans="19:19" x14ac:dyDescent="0.2">
      <c r="S118" t="str">
        <f t="shared" ca="1" si="3"/>
        <v/>
      </c>
    </row>
    <row r="119" spans="19:19" x14ac:dyDescent="0.2">
      <c r="S119" t="str">
        <f t="shared" ca="1" si="3"/>
        <v/>
      </c>
    </row>
    <row r="120" spans="19:19" x14ac:dyDescent="0.2">
      <c r="S120" t="str">
        <f t="shared" ca="1" si="3"/>
        <v/>
      </c>
    </row>
    <row r="121" spans="19:19" x14ac:dyDescent="0.2">
      <c r="S121" t="str">
        <f t="shared" ca="1" si="3"/>
        <v/>
      </c>
    </row>
    <row r="122" spans="19:19" x14ac:dyDescent="0.2">
      <c r="S122" t="str">
        <f t="shared" ca="1" si="3"/>
        <v/>
      </c>
    </row>
    <row r="123" spans="19:19" x14ac:dyDescent="0.2">
      <c r="S123" t="str">
        <f t="shared" ca="1" si="3"/>
        <v/>
      </c>
    </row>
    <row r="124" spans="19:19" x14ac:dyDescent="0.2">
      <c r="S124" t="str">
        <f t="shared" ca="1" si="3"/>
        <v/>
      </c>
    </row>
    <row r="125" spans="19:19" x14ac:dyDescent="0.2">
      <c r="S125" t="str">
        <f t="shared" ca="1" si="3"/>
        <v/>
      </c>
    </row>
    <row r="126" spans="19:19" x14ac:dyDescent="0.2">
      <c r="S126" t="str">
        <f t="shared" ca="1" si="3"/>
        <v/>
      </c>
    </row>
    <row r="127" spans="19:19" x14ac:dyDescent="0.2">
      <c r="S127" t="str">
        <f t="shared" ca="1" si="3"/>
        <v/>
      </c>
    </row>
    <row r="128" spans="19:19" x14ac:dyDescent="0.2">
      <c r="S128" t="str">
        <f t="shared" ca="1" si="3"/>
        <v/>
      </c>
    </row>
    <row r="129" spans="19:19" x14ac:dyDescent="0.2">
      <c r="S129" t="str">
        <f t="shared" ca="1" si="3"/>
        <v/>
      </c>
    </row>
    <row r="130" spans="19:19" x14ac:dyDescent="0.2">
      <c r="S130" t="str">
        <f t="shared" ca="1" si="3"/>
        <v/>
      </c>
    </row>
    <row r="131" spans="19:19" x14ac:dyDescent="0.2">
      <c r="S131" t="str">
        <f t="shared" ca="1" si="3"/>
        <v/>
      </c>
    </row>
    <row r="132" spans="19:19" x14ac:dyDescent="0.2">
      <c r="S132" t="str">
        <f t="shared" ca="1" si="3"/>
        <v/>
      </c>
    </row>
    <row r="133" spans="19:19" x14ac:dyDescent="0.2">
      <c r="S133" t="str">
        <f t="shared" ca="1" si="3"/>
        <v/>
      </c>
    </row>
    <row r="134" spans="19:19" x14ac:dyDescent="0.2">
      <c r="S134" t="str">
        <f t="shared" ca="1" si="3"/>
        <v/>
      </c>
    </row>
    <row r="135" spans="19:19" x14ac:dyDescent="0.2">
      <c r="S135" t="str">
        <f t="shared" ca="1" si="3"/>
        <v/>
      </c>
    </row>
    <row r="136" spans="19:19" x14ac:dyDescent="0.2">
      <c r="S136" t="str">
        <f t="shared" ca="1" si="3"/>
        <v/>
      </c>
    </row>
    <row r="137" spans="19:19" x14ac:dyDescent="0.2">
      <c r="S137" t="str">
        <f t="shared" ca="1" si="3"/>
        <v/>
      </c>
    </row>
    <row r="138" spans="19:19" x14ac:dyDescent="0.2">
      <c r="S138" t="str">
        <f t="shared" ref="S138:S169" ca="1" si="4"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","")&amp;",")),E$10:E$209))))&lt;=1,TRUE),IF(OR(ISNUMBER(F138),F138="-"),ABS(N(F138)-(IF(ISNUMBER(SEARCH(":",SUBSTITUTE($R138," ",""))),SUM(INDIRECT("F"&amp;LEFT(SUBSTITUTE($R138," ",""),SEARCH(":",SUBSTITUTE($R138," ",""))-1)&amp;":F"&amp;MID(SUBSTITUTE($R138," ",""),SEARCH(":",SUBSTITUTE($R138," ",""))+1,10))),SUMPRODUCT(--ISNUMBER(SEARCH(","&amp;ROW(F$10:F$209)&amp;",",","&amp;SUBSTITUTE($R138," ","")&amp;",")),F$10:F$209)-SUMPRODUCT(--ISNUMBER(SEARCH(",-"&amp;ROW(F$10:F$209)&amp;",",","&amp;SUBSTITUTE($R138," ","")&amp;",")),F$10:F$209))))&lt;=1,TRUE),IF(OR(ISNUMBER(G138),G138="-"),ABS(N(G138)-(IF(ISNUMBER(SEARCH(":",SUBSTITUTE($R138," ",""))),SUM(INDIRECT("G"&amp;LEFT(SUBSTITUTE($R138," ",""),SEARCH(":",SUBSTITUTE($R138," ",""))-1)&amp;":G"&amp;MID(SUBSTITUTE($R138," ",""),SEARCH(":",SUBSTITUTE($R138," ",""))+1,10))),SUMPRODUCT(--ISNUMBER(SEARCH(","&amp;ROW(G$10:G$209)&amp;",",","&amp;SUBSTITUTE($R138," ","")&amp;",")),G$10:G$209)-SUMPRODUCT(--ISNUMBER(SEARCH(",-"&amp;ROW(G$10:G$209)&amp;",",","&amp;SUBSTITUTE($R138," ","")&amp;",")),G$10:G$209))))&lt;=1,TRUE),IF(OR(ISNUMBER(H138),H138="-"),ABS(N(H138)-(IF(ISNUMBER(SEARCH(":",SUBSTITUTE($R138," ",""))),SUM(INDIRECT("H"&amp;LEFT(SUBSTITUTE($R138," ",""),SEARCH(":",SUBSTITUTE($R138," ",""))-1)&amp;":H"&amp;MID(SUBSTITUTE($R138," ",""),SEARCH(":",SUBSTITUTE($R138," ",""))+1,10))),SUMPRODUCT(--ISNUMBER(SEARCH(","&amp;ROW(H$10:H$209)&amp;",",","&amp;SUBSTITUTE($R138," ","")&amp;",")),H$10:H$209)-SUMPRODUCT(--ISNUMBER(SEARCH(",-"&amp;ROW(H$10:H$209)&amp;",",","&amp;SUBSTITUTE($R138," ","")&amp;",")),H$10:H$209))))&lt;=1,TRUE),IF(OR(ISNUMBER(I138),I138="-"),ABS(N(I138)-(IF(ISNUMBER(SEARCH(":",SUBSTITUTE($R138," ",""))),SUM(INDIRECT("I"&amp;LEFT(SUBSTITUTE($R138," ",""),SEARCH(":",SUBSTITUTE($R138," ",""))-1)&amp;":I"&amp;MID(SUBSTITUTE($R138," ",""),SEARCH(":",SUBSTITUTE($R138," ",""))+1,10))),SUMPRODUCT(--ISNUMBER(SEARCH(","&amp;ROW(I$10:I$209)&amp;",",","&amp;SUBSTITUTE($R138," ","")&amp;",")),I$10:I$209)-SUMPRODUCT(--ISNUMBER(SEARCH(",-"&amp;ROW(I$10:I$209)&amp;",",","&amp;SUBSTITUTE($R138," ","")&amp;",")),I$10:I$209))))&lt;=1,TRUE),IF(OR(ISNUMBER(J138),J138="-"),ABS(N(J138)-(IF(ISNUMBER(SEARCH(":",SUBSTITUTE($R138," ",""))),SUM(INDIRECT("J"&amp;LEFT(SUBSTITUTE($R138," ",""),SEARCH(":",SUBSTITUTE($R138," ",""))-1)&amp;":J"&amp;MID(SUBSTITUTE($R138," ",""),SEARCH(":",SUBSTITUTE($R138," ",""))+1,10))),SUMPRODUCT(--ISNUMBER(SEARCH(","&amp;ROW(J$10:J$209)&amp;",",","&amp;SUBSTITUTE($R138," ","")&amp;",")),J$10:J$209)-SUMPRODUCT(--ISNUMBER(SEARCH(",-"&amp;ROW(J$10:J$209)&amp;",",","&amp;SUBSTITUTE($R138," ","")&amp;",")),J$10:J$209))))&lt;=1,TRUE)),"✓","✗"))</f>
        <v/>
      </c>
    </row>
    <row r="139" spans="19:19" x14ac:dyDescent="0.2">
      <c r="S139" t="str">
        <f t="shared" ca="1" si="4"/>
        <v/>
      </c>
    </row>
    <row r="140" spans="19:19" x14ac:dyDescent="0.2">
      <c r="S140" t="str">
        <f t="shared" ca="1" si="4"/>
        <v/>
      </c>
    </row>
    <row r="141" spans="19:19" x14ac:dyDescent="0.2">
      <c r="S141" t="str">
        <f t="shared" ca="1" si="4"/>
        <v/>
      </c>
    </row>
    <row r="142" spans="19:19" x14ac:dyDescent="0.2">
      <c r="S142" t="str">
        <f t="shared" ca="1" si="4"/>
        <v/>
      </c>
    </row>
    <row r="143" spans="19:19" x14ac:dyDescent="0.2">
      <c r="S143" t="str">
        <f t="shared" ca="1" si="4"/>
        <v/>
      </c>
    </row>
    <row r="144" spans="19:19" x14ac:dyDescent="0.2">
      <c r="S144" t="str">
        <f t="shared" ca="1" si="4"/>
        <v/>
      </c>
    </row>
    <row r="145" spans="19:19" x14ac:dyDescent="0.2">
      <c r="S145" t="str">
        <f t="shared" ca="1" si="4"/>
        <v/>
      </c>
    </row>
    <row r="146" spans="19:19" x14ac:dyDescent="0.2">
      <c r="S146" t="str">
        <f t="shared" ca="1" si="4"/>
        <v/>
      </c>
    </row>
    <row r="147" spans="19:19" x14ac:dyDescent="0.2">
      <c r="S147" t="str">
        <f t="shared" ca="1" si="4"/>
        <v/>
      </c>
    </row>
    <row r="148" spans="19:19" x14ac:dyDescent="0.2">
      <c r="S148" t="str">
        <f t="shared" ca="1" si="4"/>
        <v/>
      </c>
    </row>
    <row r="149" spans="19:19" x14ac:dyDescent="0.2">
      <c r="S149" t="str">
        <f t="shared" ca="1" si="4"/>
        <v/>
      </c>
    </row>
    <row r="150" spans="19:19" x14ac:dyDescent="0.2">
      <c r="S150" t="str">
        <f t="shared" ca="1" si="4"/>
        <v/>
      </c>
    </row>
    <row r="151" spans="19:19" x14ac:dyDescent="0.2">
      <c r="S151" t="str">
        <f t="shared" ca="1" si="4"/>
        <v/>
      </c>
    </row>
    <row r="152" spans="19:19" x14ac:dyDescent="0.2">
      <c r="S152" t="str">
        <f t="shared" ca="1" si="4"/>
        <v/>
      </c>
    </row>
    <row r="153" spans="19:19" x14ac:dyDescent="0.2">
      <c r="S153" t="str">
        <f t="shared" ca="1" si="4"/>
        <v/>
      </c>
    </row>
    <row r="154" spans="19:19" x14ac:dyDescent="0.2">
      <c r="S154" t="str">
        <f t="shared" ca="1" si="4"/>
        <v/>
      </c>
    </row>
    <row r="155" spans="19:19" x14ac:dyDescent="0.2">
      <c r="S155" t="str">
        <f t="shared" ca="1" si="4"/>
        <v/>
      </c>
    </row>
    <row r="156" spans="19:19" x14ac:dyDescent="0.2">
      <c r="S156" t="str">
        <f t="shared" ca="1" si="4"/>
        <v/>
      </c>
    </row>
    <row r="157" spans="19:19" x14ac:dyDescent="0.2">
      <c r="S157" t="str">
        <f t="shared" ca="1" si="4"/>
        <v/>
      </c>
    </row>
    <row r="158" spans="19:19" x14ac:dyDescent="0.2">
      <c r="S158" t="str">
        <f t="shared" ca="1" si="4"/>
        <v/>
      </c>
    </row>
    <row r="159" spans="19:19" x14ac:dyDescent="0.2">
      <c r="S159" t="str">
        <f t="shared" ca="1" si="4"/>
        <v/>
      </c>
    </row>
    <row r="160" spans="19:19" x14ac:dyDescent="0.2">
      <c r="S160" t="str">
        <f t="shared" ca="1" si="4"/>
        <v/>
      </c>
    </row>
    <row r="161" spans="19:19" x14ac:dyDescent="0.2">
      <c r="S161" t="str">
        <f t="shared" ca="1" si="4"/>
        <v/>
      </c>
    </row>
    <row r="162" spans="19:19" x14ac:dyDescent="0.2">
      <c r="S162" t="str">
        <f t="shared" ca="1" si="4"/>
        <v/>
      </c>
    </row>
    <row r="163" spans="19:19" x14ac:dyDescent="0.2">
      <c r="S163" t="str">
        <f t="shared" ca="1" si="4"/>
        <v/>
      </c>
    </row>
    <row r="164" spans="19:19" x14ac:dyDescent="0.2">
      <c r="S164" t="str">
        <f t="shared" ca="1" si="4"/>
        <v/>
      </c>
    </row>
    <row r="165" spans="19:19" x14ac:dyDescent="0.2">
      <c r="S165" t="str">
        <f t="shared" ca="1" si="4"/>
        <v/>
      </c>
    </row>
    <row r="166" spans="19:19" x14ac:dyDescent="0.2">
      <c r="S166" t="str">
        <f t="shared" ca="1" si="4"/>
        <v/>
      </c>
    </row>
    <row r="167" spans="19:19" x14ac:dyDescent="0.2">
      <c r="S167" t="str">
        <f t="shared" ca="1" si="4"/>
        <v/>
      </c>
    </row>
    <row r="168" spans="19:19" x14ac:dyDescent="0.2">
      <c r="S168" t="str">
        <f t="shared" ca="1" si="4"/>
        <v/>
      </c>
    </row>
    <row r="169" spans="19:19" x14ac:dyDescent="0.2">
      <c r="S169" t="str">
        <f t="shared" ca="1" si="4"/>
        <v/>
      </c>
    </row>
    <row r="170" spans="19:19" x14ac:dyDescent="0.2">
      <c r="S170" t="str">
        <f t="shared" ref="S170:S201" ca="1" si="5"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","")&amp;",")),E$10:E$209))))&lt;=1,TRUE),IF(OR(ISNUMBER(F170),F170="-"),ABS(N(F170)-(IF(ISNUMBER(SEARCH(":",SUBSTITUTE($R170," ",""))),SUM(INDIRECT("F"&amp;LEFT(SUBSTITUTE($R170," ",""),SEARCH(":",SUBSTITUTE($R170," ",""))-1)&amp;":F"&amp;MID(SUBSTITUTE($R170," ",""),SEARCH(":",SUBSTITUTE($R170," ",""))+1,10))),SUMPRODUCT(--ISNUMBER(SEARCH(","&amp;ROW(F$10:F$209)&amp;",",","&amp;SUBSTITUTE($R170," ","")&amp;",")),F$10:F$209)-SUMPRODUCT(--ISNUMBER(SEARCH(",-"&amp;ROW(F$10:F$209)&amp;",",","&amp;SUBSTITUTE($R170," ","")&amp;",")),F$10:F$209))))&lt;=1,TRUE),IF(OR(ISNUMBER(G170),G170="-"),ABS(N(G170)-(IF(ISNUMBER(SEARCH(":",SUBSTITUTE($R170," ",""))),SUM(INDIRECT("G"&amp;LEFT(SUBSTITUTE($R170," ",""),SEARCH(":",SUBSTITUTE($R170," ",""))-1)&amp;":G"&amp;MID(SUBSTITUTE($R170," ",""),SEARCH(":",SUBSTITUTE($R170," ",""))+1,10))),SUMPRODUCT(--ISNUMBER(SEARCH(","&amp;ROW(G$10:G$209)&amp;",",","&amp;SUBSTITUTE($R170," ","")&amp;",")),G$10:G$209)-SUMPRODUCT(--ISNUMBER(SEARCH(",-"&amp;ROW(G$10:G$209)&amp;",",","&amp;SUBSTITUTE($R170," ","")&amp;",")),G$10:G$209))))&lt;=1,TRUE),IF(OR(ISNUMBER(H170),H170="-"),ABS(N(H170)-(IF(ISNUMBER(SEARCH(":",SUBSTITUTE($R170," ",""))),SUM(INDIRECT("H"&amp;LEFT(SUBSTITUTE($R170," ",""),SEARCH(":",SUBSTITUTE($R170," ",""))-1)&amp;":H"&amp;MID(SUBSTITUTE($R170," ",""),SEARCH(":",SUBSTITUTE($R170," ",""))+1,10))),SUMPRODUCT(--ISNUMBER(SEARCH(","&amp;ROW(H$10:H$209)&amp;",",","&amp;SUBSTITUTE($R170," ","")&amp;",")),H$10:H$209)-SUMPRODUCT(--ISNUMBER(SEARCH(",-"&amp;ROW(H$10:H$209)&amp;",",","&amp;SUBSTITUTE($R170," ","")&amp;",")),H$10:H$209))))&lt;=1,TRUE),IF(OR(ISNUMBER(I170),I170="-"),ABS(N(I170)-(IF(ISNUMBER(SEARCH(":",SUBSTITUTE($R170," ",""))),SUM(INDIRECT("I"&amp;LEFT(SUBSTITUTE($R170," ",""),SEARCH(":",SUBSTITUTE($R170," ",""))-1)&amp;":I"&amp;MID(SUBSTITUTE($R170," ",""),SEARCH(":",SUBSTITUTE($R170," ",""))+1,10))),SUMPRODUCT(--ISNUMBER(SEARCH(","&amp;ROW(I$10:I$209)&amp;",",","&amp;SUBSTITUTE($R170," ","")&amp;",")),I$10:I$209)-SUMPRODUCT(--ISNUMBER(SEARCH(",-"&amp;ROW(I$10:I$209)&amp;",",","&amp;SUBSTITUTE($R170," ","")&amp;",")),I$10:I$209))))&lt;=1,TRUE),IF(OR(ISNUMBER(J170),J170="-"),ABS(N(J170)-(IF(ISNUMBER(SEARCH(":",SUBSTITUTE($R170," ",""))),SUM(INDIRECT("J"&amp;LEFT(SUBSTITUTE($R170," ",""),SEARCH(":",SUBSTITUTE($R170," ",""))-1)&amp;":J"&amp;MID(SUBSTITUTE($R170," ",""),SEARCH(":",SUBSTITUTE($R170," ",""))+1,10))),SUMPRODUCT(--ISNUMBER(SEARCH(","&amp;ROW(J$10:J$209)&amp;",",","&amp;SUBSTITUTE($R170," ","")&amp;",")),J$10:J$209)-SUMPRODUCT(--ISNUMBER(SEARCH(",-"&amp;ROW(J$10:J$209)&amp;",",","&amp;SUBSTITUTE($R170," ","")&amp;",")),J$10:J$209))))&lt;=1,TRUE)),"✓","✗"))</f>
        <v/>
      </c>
    </row>
    <row r="171" spans="19:19" x14ac:dyDescent="0.2">
      <c r="S171" t="str">
        <f t="shared" ca="1" si="5"/>
        <v/>
      </c>
    </row>
    <row r="172" spans="19:19" x14ac:dyDescent="0.2">
      <c r="S172" t="str">
        <f t="shared" ca="1" si="5"/>
        <v/>
      </c>
    </row>
    <row r="173" spans="19:19" x14ac:dyDescent="0.2">
      <c r="S173" t="str">
        <f t="shared" ca="1" si="5"/>
        <v/>
      </c>
    </row>
    <row r="174" spans="19:19" x14ac:dyDescent="0.2">
      <c r="S174" t="str">
        <f t="shared" ca="1" si="5"/>
        <v/>
      </c>
    </row>
    <row r="175" spans="19:19" x14ac:dyDescent="0.2">
      <c r="S175" t="str">
        <f t="shared" ca="1" si="5"/>
        <v/>
      </c>
    </row>
    <row r="176" spans="19:19" x14ac:dyDescent="0.2">
      <c r="S176" t="str">
        <f t="shared" ca="1" si="5"/>
        <v/>
      </c>
    </row>
    <row r="177" spans="19:19" x14ac:dyDescent="0.2">
      <c r="S177" t="str">
        <f t="shared" ca="1" si="5"/>
        <v/>
      </c>
    </row>
    <row r="178" spans="19:19" x14ac:dyDescent="0.2">
      <c r="S178" t="str">
        <f t="shared" ca="1" si="5"/>
        <v/>
      </c>
    </row>
    <row r="179" spans="19:19" x14ac:dyDescent="0.2">
      <c r="S179" t="str">
        <f t="shared" ca="1" si="5"/>
        <v/>
      </c>
    </row>
    <row r="180" spans="19:19" x14ac:dyDescent="0.2">
      <c r="S180" t="str">
        <f t="shared" ca="1" si="5"/>
        <v/>
      </c>
    </row>
    <row r="181" spans="19:19" x14ac:dyDescent="0.2">
      <c r="S181" t="str">
        <f t="shared" ca="1" si="5"/>
        <v/>
      </c>
    </row>
    <row r="182" spans="19:19" x14ac:dyDescent="0.2">
      <c r="S182" t="str">
        <f t="shared" ca="1" si="5"/>
        <v/>
      </c>
    </row>
    <row r="183" spans="19:19" x14ac:dyDescent="0.2">
      <c r="S183" t="str">
        <f t="shared" ca="1" si="5"/>
        <v/>
      </c>
    </row>
    <row r="184" spans="19:19" x14ac:dyDescent="0.2">
      <c r="S184" t="str">
        <f t="shared" ca="1" si="5"/>
        <v/>
      </c>
    </row>
    <row r="185" spans="19:19" x14ac:dyDescent="0.2">
      <c r="S185" t="str">
        <f t="shared" ca="1" si="5"/>
        <v/>
      </c>
    </row>
    <row r="186" spans="19:19" x14ac:dyDescent="0.2">
      <c r="S186" t="str">
        <f t="shared" ca="1" si="5"/>
        <v/>
      </c>
    </row>
    <row r="187" spans="19:19" x14ac:dyDescent="0.2">
      <c r="S187" t="str">
        <f t="shared" ca="1" si="5"/>
        <v/>
      </c>
    </row>
    <row r="188" spans="19:19" x14ac:dyDescent="0.2">
      <c r="S188" t="str">
        <f t="shared" ca="1" si="5"/>
        <v/>
      </c>
    </row>
    <row r="189" spans="19:19" x14ac:dyDescent="0.2">
      <c r="S189" t="str">
        <f t="shared" ca="1" si="5"/>
        <v/>
      </c>
    </row>
    <row r="190" spans="19:19" x14ac:dyDescent="0.2">
      <c r="S190" t="str">
        <f t="shared" ca="1" si="5"/>
        <v/>
      </c>
    </row>
    <row r="191" spans="19:19" x14ac:dyDescent="0.2">
      <c r="S191" t="str">
        <f t="shared" ca="1" si="5"/>
        <v/>
      </c>
    </row>
    <row r="192" spans="19:19" x14ac:dyDescent="0.2">
      <c r="S192" t="str">
        <f t="shared" ca="1" si="5"/>
        <v/>
      </c>
    </row>
    <row r="193" spans="19:19" x14ac:dyDescent="0.2">
      <c r="S193" t="str">
        <f t="shared" ca="1" si="5"/>
        <v/>
      </c>
    </row>
    <row r="194" spans="19:19" x14ac:dyDescent="0.2">
      <c r="S194" t="str">
        <f t="shared" ca="1" si="5"/>
        <v/>
      </c>
    </row>
    <row r="195" spans="19:19" x14ac:dyDescent="0.2">
      <c r="S195" t="str">
        <f t="shared" ca="1" si="5"/>
        <v/>
      </c>
    </row>
    <row r="196" spans="19:19" x14ac:dyDescent="0.2">
      <c r="S196" t="str">
        <f t="shared" ca="1" si="5"/>
        <v/>
      </c>
    </row>
    <row r="197" spans="19:19" x14ac:dyDescent="0.2">
      <c r="S197" t="str">
        <f t="shared" ca="1" si="5"/>
        <v/>
      </c>
    </row>
    <row r="198" spans="19:19" x14ac:dyDescent="0.2">
      <c r="S198" t="str">
        <f t="shared" ca="1" si="5"/>
        <v/>
      </c>
    </row>
    <row r="199" spans="19:19" x14ac:dyDescent="0.2">
      <c r="S199" t="str">
        <f t="shared" ca="1" si="5"/>
        <v/>
      </c>
    </row>
    <row r="200" spans="19:19" x14ac:dyDescent="0.2">
      <c r="S200" t="str">
        <f t="shared" ca="1" si="5"/>
        <v/>
      </c>
    </row>
    <row r="201" spans="19:19" x14ac:dyDescent="0.2">
      <c r="S201" t="str">
        <f t="shared" ca="1" si="5"/>
        <v/>
      </c>
    </row>
    <row r="202" spans="19:19" x14ac:dyDescent="0.2">
      <c r="S202" t="str">
        <f t="shared" ref="S202:S209" ca="1" si="6"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","")&amp;",")),E$10:E$209))))&lt;=1,TRUE),IF(OR(ISNUMBER(F202),F202="-"),ABS(N(F202)-(IF(ISNUMBER(SEARCH(":",SUBSTITUTE($R202," ",""))),SUM(INDIRECT("F"&amp;LEFT(SUBSTITUTE($R202," ",""),SEARCH(":",SUBSTITUTE($R202," ",""))-1)&amp;":F"&amp;MID(SUBSTITUTE($R202," ",""),SEARCH(":",SUBSTITUTE($R202," ",""))+1,10))),SUMPRODUCT(--ISNUMBER(SEARCH(","&amp;ROW(F$10:F$209)&amp;",",","&amp;SUBSTITUTE($R202," ","")&amp;",")),F$10:F$209)-SUMPRODUCT(--ISNUMBER(SEARCH(",-"&amp;ROW(F$10:F$209)&amp;",",","&amp;SUBSTITUTE($R202," ","")&amp;",")),F$10:F$209))))&lt;=1,TRUE),IF(OR(ISNUMBER(G202),G202="-"),ABS(N(G202)-(IF(ISNUMBER(SEARCH(":",SUBSTITUTE($R202," ",""))),SUM(INDIRECT("G"&amp;LEFT(SUBSTITUTE($R202," ",""),SEARCH(":",SUBSTITUTE($R202," ",""))-1)&amp;":G"&amp;MID(SUBSTITUTE($R202," ",""),SEARCH(":",SUBSTITUTE($R202," ",""))+1,10))),SUMPRODUCT(--ISNUMBER(SEARCH(","&amp;ROW(G$10:G$209)&amp;",",","&amp;SUBSTITUTE($R202," ","")&amp;",")),G$10:G$209)-SUMPRODUCT(--ISNUMBER(SEARCH(",-"&amp;ROW(G$10:G$209)&amp;",",","&amp;SUBSTITUTE($R202," ","")&amp;",")),G$10:G$209))))&lt;=1,TRUE),IF(OR(ISNUMBER(H202),H202="-"),ABS(N(H202)-(IF(ISNUMBER(SEARCH(":",SUBSTITUTE($R202," ",""))),SUM(INDIRECT("H"&amp;LEFT(SUBSTITUTE($R202," ",""),SEARCH(":",SUBSTITUTE($R202," ",""))-1)&amp;":H"&amp;MID(SUBSTITUTE($R202," ",""),SEARCH(":",SUBSTITUTE($R202," ",""))+1,10))),SUMPRODUCT(--ISNUMBER(SEARCH(","&amp;ROW(H$10:H$209)&amp;",",","&amp;SUBSTITUTE($R202," ","")&amp;",")),H$10:H$209)-SUMPRODUCT(--ISNUMBER(SEARCH(",-"&amp;ROW(H$10:H$209)&amp;",",","&amp;SUBSTITUTE($R202," ","")&amp;",")),H$10:H$209))))&lt;=1,TRUE),IF(OR(ISNUMBER(I202),I202="-"),ABS(N(I202)-(IF(ISNUMBER(SEARCH(":",SUBSTITUTE($R202," ",""))),SUM(INDIRECT("I"&amp;LEFT(SUBSTITUTE($R202," ",""),SEARCH(":",SUBSTITUTE($R202," ",""))-1)&amp;":I"&amp;MID(SUBSTITUTE($R202," ",""),SEARCH(":",SUBSTITUTE($R202," ",""))+1,10))),SUMPRODUCT(--ISNUMBER(SEARCH(","&amp;ROW(I$10:I$209)&amp;",",","&amp;SUBSTITUTE($R202," ","")&amp;",")),I$10:I$209)-SUMPRODUCT(--ISNUMBER(SEARCH(",-"&amp;ROW(I$10:I$209)&amp;",",","&amp;SUBSTITUTE($R202," ","")&amp;",")),I$10:I$209))))&lt;=1,TRUE),IF(OR(ISNUMBER(J202),J202="-"),ABS(N(J202)-(IF(ISNUMBER(SEARCH(":",SUBSTITUTE($R202," ",""))),SUM(INDIRECT("J"&amp;LEFT(SUBSTITUTE($R202," ",""),SEARCH(":",SUBSTITUTE($R202," ",""))-1)&amp;":J"&amp;MID(SUBSTITUTE($R202," ",""),SEARCH(":",SUBSTITUTE($R202," ",""))+1,10))),SUMPRODUCT(--ISNUMBER(SEARCH(","&amp;ROW(J$10:J$209)&amp;",",","&amp;SUBSTITUTE($R202," ","")&amp;",")),J$10:J$209)-SUMPRODUCT(--ISNUMBER(SEARCH(",-"&amp;ROW(J$10:J$209)&amp;",",","&amp;SUBSTITUTE($R202," ","")&amp;",")),J$10:J$209))))&lt;=1,TRUE)),"✓","✗"))</f>
        <v/>
      </c>
    </row>
    <row r="203" spans="19:19" x14ac:dyDescent="0.2">
      <c r="S203" t="str">
        <f t="shared" ca="1" si="6"/>
        <v/>
      </c>
    </row>
    <row r="204" spans="19:19" x14ac:dyDescent="0.2">
      <c r="S204" t="str">
        <f t="shared" ca="1" si="6"/>
        <v/>
      </c>
    </row>
    <row r="205" spans="19:19" x14ac:dyDescent="0.2">
      <c r="S205" t="str">
        <f t="shared" ca="1" si="6"/>
        <v/>
      </c>
    </row>
    <row r="206" spans="19:19" x14ac:dyDescent="0.2">
      <c r="S206" t="str">
        <f t="shared" ca="1" si="6"/>
        <v/>
      </c>
    </row>
    <row r="207" spans="19:19" x14ac:dyDescent="0.2">
      <c r="S207" t="str">
        <f t="shared" ca="1" si="6"/>
        <v/>
      </c>
    </row>
    <row r="208" spans="19:19" x14ac:dyDescent="0.2">
      <c r="S208" t="str">
        <f t="shared" ca="1" si="6"/>
        <v/>
      </c>
    </row>
    <row r="209" spans="19:19" x14ac:dyDescent="0.2">
      <c r="S209" t="str">
        <f t="shared" ca="1" si="6"/>
        <v/>
      </c>
    </row>
  </sheetData>
  <conditionalFormatting sqref="S10:S209">
    <cfRule type="cellIs" dxfId="3" priority="1" operator="equal">
      <formula>"✗"</formula>
    </cfRule>
    <cfRule type="cellIs" dxfId="2" priority="2" operator="equal">
      <formula>"✓"</formula>
    </cfRule>
  </conditionalFormatting>
  <dataValidations count="3">
    <dataValidation type="list" sqref="B1" xr:uid="{00000000-0002-0000-0500-000000000000}">
      <formula1>"financial_position,income,comprehensive_income,income_and_comprehensive_income,changes_in_equity,changes_in_net_assets,cash_flows,other"</formula1>
    </dataValidation>
    <dataValidation type="list" sqref="B5" xr:uid="{00000000-0002-0000-0500-000001000000}">
      <formula1>"1,1000,1000000"</formula1>
    </dataValidation>
    <dataValidation type="list" allowBlank="1" sqref="A10:A209" xr:uid="{00000000-0002-0000-0500-000002000000}">
      <formula1>"section,item,subtotal,total"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09"/>
  <sheetViews>
    <sheetView rightToLeft="1" workbookViewId="0">
      <pane xSplit="3" ySplit="9" topLeftCell="D5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52" customWidth="1"/>
    <col min="3" max="3" width="9" customWidth="1"/>
    <col min="4" max="17" width="16" customWidth="1"/>
    <col min="18" max="18" width="14" customWidth="1"/>
    <col min="19" max="19" width="7" customWidth="1"/>
    <col min="20" max="20" width="30" customWidth="1"/>
  </cols>
  <sheetData>
    <row r="1" spans="1:20" x14ac:dyDescent="0.2">
      <c r="A1" s="3" t="s">
        <v>40</v>
      </c>
      <c r="B1" s="4" t="s">
        <v>201</v>
      </c>
    </row>
    <row r="2" spans="1:20" x14ac:dyDescent="0.2">
      <c r="A2" s="3" t="s">
        <v>42</v>
      </c>
      <c r="B2" s="4" t="s">
        <v>202</v>
      </c>
    </row>
    <row r="3" spans="1:20" x14ac:dyDescent="0.2">
      <c r="A3" s="3" t="s">
        <v>44</v>
      </c>
      <c r="B3" s="4" t="s">
        <v>203</v>
      </c>
      <c r="C3" t="s">
        <v>46</v>
      </c>
    </row>
    <row r="4" spans="1:20" x14ac:dyDescent="0.2">
      <c r="A4" s="3" t="s">
        <v>47</v>
      </c>
      <c r="B4" s="4" t="s">
        <v>48</v>
      </c>
    </row>
    <row r="5" spans="1:20" x14ac:dyDescent="0.2">
      <c r="A5" s="3" t="s">
        <v>49</v>
      </c>
      <c r="B5" s="4">
        <v>1000</v>
      </c>
      <c r="C5" t="s">
        <v>50</v>
      </c>
    </row>
    <row r="7" spans="1:20" ht="32" x14ac:dyDescent="0.2">
      <c r="A7" s="5" t="s">
        <v>51</v>
      </c>
      <c r="B7" s="5" t="s">
        <v>52</v>
      </c>
      <c r="C7" s="5" t="s">
        <v>53</v>
      </c>
      <c r="D7" s="5" t="s">
        <v>54</v>
      </c>
      <c r="E7" s="5" t="s">
        <v>55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 t="s">
        <v>56</v>
      </c>
      <c r="S7" s="5" t="s">
        <v>57</v>
      </c>
      <c r="T7" s="5" t="s">
        <v>39</v>
      </c>
    </row>
    <row r="8" spans="1:20" x14ac:dyDescent="0.2">
      <c r="C8" t="s">
        <v>58</v>
      </c>
      <c r="D8" s="4" t="s">
        <v>25</v>
      </c>
      <c r="E8" s="4" t="s">
        <v>59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20" x14ac:dyDescent="0.2">
      <c r="C9" t="s">
        <v>60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20" x14ac:dyDescent="0.2">
      <c r="A10" t="s">
        <v>63</v>
      </c>
      <c r="B10" t="s">
        <v>154</v>
      </c>
      <c r="D10">
        <v>1404619</v>
      </c>
      <c r="E10">
        <v>1180851</v>
      </c>
      <c r="S10" t="str">
        <f t="shared" ref="S10:S41" ca="1" si="0"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 spans="1:20" x14ac:dyDescent="0.2">
      <c r="A11" t="s">
        <v>61</v>
      </c>
      <c r="B11" t="s">
        <v>204</v>
      </c>
      <c r="S11" t="str">
        <f t="shared" ca="1" si="0"/>
        <v/>
      </c>
    </row>
    <row r="12" spans="1:20" x14ac:dyDescent="0.2">
      <c r="A12" t="s">
        <v>61</v>
      </c>
      <c r="B12" t="s">
        <v>205</v>
      </c>
      <c r="S12" t="str">
        <f t="shared" ca="1" si="0"/>
        <v/>
      </c>
    </row>
    <row r="13" spans="1:20" x14ac:dyDescent="0.2">
      <c r="A13" t="s">
        <v>63</v>
      </c>
      <c r="B13" t="s">
        <v>206</v>
      </c>
      <c r="D13">
        <v>-42915</v>
      </c>
      <c r="E13">
        <v>-28787</v>
      </c>
      <c r="S13" t="str">
        <f t="shared" ca="1" si="0"/>
        <v/>
      </c>
    </row>
    <row r="14" spans="1:20" x14ac:dyDescent="0.2">
      <c r="A14" t="s">
        <v>63</v>
      </c>
      <c r="B14" t="s">
        <v>140</v>
      </c>
      <c r="C14" t="s">
        <v>80</v>
      </c>
      <c r="D14">
        <v>183815</v>
      </c>
      <c r="E14">
        <v>182119</v>
      </c>
      <c r="S14" t="str">
        <f t="shared" ca="1" si="0"/>
        <v/>
      </c>
    </row>
    <row r="15" spans="1:20" x14ac:dyDescent="0.2">
      <c r="A15" t="s">
        <v>63</v>
      </c>
      <c r="B15" t="s">
        <v>129</v>
      </c>
      <c r="C15" t="s">
        <v>130</v>
      </c>
      <c r="D15">
        <v>-151499</v>
      </c>
      <c r="E15">
        <v>-103008</v>
      </c>
      <c r="S15" t="str">
        <f t="shared" ca="1" si="0"/>
        <v/>
      </c>
    </row>
    <row r="16" spans="1:20" x14ac:dyDescent="0.2">
      <c r="A16" t="s">
        <v>63</v>
      </c>
      <c r="B16" t="s">
        <v>207</v>
      </c>
      <c r="D16">
        <v>3007</v>
      </c>
      <c r="E16">
        <v>-12194</v>
      </c>
      <c r="S16" t="str">
        <f t="shared" ca="1" si="0"/>
        <v/>
      </c>
    </row>
    <row r="17" spans="1:19" x14ac:dyDescent="0.2">
      <c r="A17" t="s">
        <v>63</v>
      </c>
      <c r="B17" t="s">
        <v>208</v>
      </c>
      <c r="D17">
        <v>305</v>
      </c>
      <c r="E17">
        <v>-18239</v>
      </c>
      <c r="S17" t="str">
        <f t="shared" ca="1" si="0"/>
        <v/>
      </c>
    </row>
    <row r="18" spans="1:19" x14ac:dyDescent="0.2">
      <c r="A18" t="s">
        <v>63</v>
      </c>
      <c r="B18" t="s">
        <v>209</v>
      </c>
      <c r="C18" t="s">
        <v>210</v>
      </c>
      <c r="D18">
        <v>35839</v>
      </c>
      <c r="E18">
        <v>46454</v>
      </c>
      <c r="S18" t="str">
        <f t="shared" ca="1" si="0"/>
        <v/>
      </c>
    </row>
    <row r="19" spans="1:19" x14ac:dyDescent="0.2">
      <c r="A19" t="s">
        <v>63</v>
      </c>
      <c r="B19" t="s">
        <v>145</v>
      </c>
      <c r="C19" t="s">
        <v>146</v>
      </c>
      <c r="D19">
        <v>317460</v>
      </c>
      <c r="E19">
        <v>229063</v>
      </c>
      <c r="S19" t="str">
        <f t="shared" ca="1" si="0"/>
        <v/>
      </c>
    </row>
    <row r="20" spans="1:19" x14ac:dyDescent="0.2">
      <c r="A20" t="s">
        <v>63</v>
      </c>
      <c r="B20" t="s">
        <v>211</v>
      </c>
      <c r="D20">
        <v>-42571</v>
      </c>
      <c r="E20">
        <v>-736</v>
      </c>
      <c r="S20" t="str">
        <f t="shared" ca="1" si="0"/>
        <v/>
      </c>
    </row>
    <row r="21" spans="1:19" x14ac:dyDescent="0.2">
      <c r="A21" t="s">
        <v>63</v>
      </c>
      <c r="B21" t="s">
        <v>153</v>
      </c>
      <c r="C21" t="s">
        <v>76</v>
      </c>
      <c r="D21">
        <v>-16901</v>
      </c>
      <c r="E21">
        <v>-16066</v>
      </c>
      <c r="S21" t="str">
        <f t="shared" ca="1" si="0"/>
        <v/>
      </c>
    </row>
    <row r="22" spans="1:19" x14ac:dyDescent="0.2">
      <c r="A22" t="s">
        <v>63</v>
      </c>
      <c r="B22" t="s">
        <v>212</v>
      </c>
      <c r="D22">
        <v>157645</v>
      </c>
      <c r="E22">
        <v>151536</v>
      </c>
      <c r="S22" t="str">
        <f t="shared" ca="1" si="0"/>
        <v/>
      </c>
    </row>
    <row r="23" spans="1:19" x14ac:dyDescent="0.2">
      <c r="A23" t="s">
        <v>105</v>
      </c>
      <c r="B23" t="s">
        <v>213</v>
      </c>
      <c r="D23">
        <v>1848804</v>
      </c>
      <c r="E23">
        <v>1610993</v>
      </c>
      <c r="R23" t="s">
        <v>214</v>
      </c>
      <c r="S23" t="str">
        <f t="shared" ca="1" si="0"/>
        <v>✓</v>
      </c>
    </row>
    <row r="24" spans="1:19" x14ac:dyDescent="0.2">
      <c r="A24" t="s">
        <v>61</v>
      </c>
      <c r="B24" t="s">
        <v>215</v>
      </c>
      <c r="S24" t="str">
        <f t="shared" ca="1" si="0"/>
        <v/>
      </c>
    </row>
    <row r="25" spans="1:19" x14ac:dyDescent="0.2">
      <c r="A25" t="s">
        <v>63</v>
      </c>
      <c r="B25" t="s">
        <v>216</v>
      </c>
      <c r="D25">
        <v>-756321</v>
      </c>
      <c r="E25">
        <v>-20123</v>
      </c>
      <c r="S25" t="str">
        <f t="shared" ca="1" si="0"/>
        <v/>
      </c>
    </row>
    <row r="26" spans="1:19" x14ac:dyDescent="0.2">
      <c r="A26" t="s">
        <v>63</v>
      </c>
      <c r="B26" t="s">
        <v>217</v>
      </c>
      <c r="D26">
        <v>-925785</v>
      </c>
      <c r="E26">
        <v>-3198430</v>
      </c>
      <c r="S26" t="str">
        <f t="shared" ca="1" si="0"/>
        <v/>
      </c>
    </row>
    <row r="27" spans="1:19" x14ac:dyDescent="0.2">
      <c r="A27" t="s">
        <v>63</v>
      </c>
      <c r="B27" t="s">
        <v>218</v>
      </c>
      <c r="D27">
        <v>-267575</v>
      </c>
      <c r="E27">
        <v>-294607</v>
      </c>
      <c r="S27" t="str">
        <f t="shared" ca="1" si="0"/>
        <v/>
      </c>
    </row>
    <row r="28" spans="1:19" x14ac:dyDescent="0.2">
      <c r="A28" t="s">
        <v>63</v>
      </c>
      <c r="B28" t="s">
        <v>219</v>
      </c>
      <c r="D28">
        <v>70771</v>
      </c>
      <c r="E28">
        <v>90134</v>
      </c>
      <c r="S28" t="str">
        <f t="shared" ca="1" si="0"/>
        <v/>
      </c>
    </row>
    <row r="29" spans="1:19" x14ac:dyDescent="0.2">
      <c r="A29" t="s">
        <v>63</v>
      </c>
      <c r="B29" t="s">
        <v>220</v>
      </c>
      <c r="D29">
        <v>-16426744</v>
      </c>
      <c r="E29">
        <v>-10415183</v>
      </c>
      <c r="S29" t="str">
        <f t="shared" ca="1" si="0"/>
        <v/>
      </c>
    </row>
    <row r="30" spans="1:19" x14ac:dyDescent="0.2">
      <c r="A30" t="s">
        <v>63</v>
      </c>
      <c r="B30" t="s">
        <v>221</v>
      </c>
      <c r="D30">
        <v>401840</v>
      </c>
      <c r="E30">
        <v>7535</v>
      </c>
      <c r="S30" t="str">
        <f t="shared" ca="1" si="0"/>
        <v/>
      </c>
    </row>
    <row r="31" spans="1:19" x14ac:dyDescent="0.2">
      <c r="A31" t="s">
        <v>63</v>
      </c>
      <c r="B31" t="s">
        <v>73</v>
      </c>
      <c r="D31">
        <v>-391668</v>
      </c>
      <c r="E31">
        <v>-138410</v>
      </c>
      <c r="S31" t="str">
        <f t="shared" ca="1" si="0"/>
        <v/>
      </c>
    </row>
    <row r="32" spans="1:19" x14ac:dyDescent="0.2">
      <c r="A32" t="s">
        <v>61</v>
      </c>
      <c r="B32" t="s">
        <v>222</v>
      </c>
      <c r="S32" t="str">
        <f t="shared" ca="1" si="0"/>
        <v/>
      </c>
    </row>
    <row r="33" spans="1:19" x14ac:dyDescent="0.2">
      <c r="A33" t="s">
        <v>63</v>
      </c>
      <c r="B33" t="s">
        <v>223</v>
      </c>
      <c r="D33">
        <v>4323600</v>
      </c>
      <c r="E33">
        <v>2869046</v>
      </c>
      <c r="S33" t="str">
        <f t="shared" ca="1" si="0"/>
        <v/>
      </c>
    </row>
    <row r="34" spans="1:19" x14ac:dyDescent="0.2">
      <c r="A34" t="s">
        <v>63</v>
      </c>
      <c r="B34" t="s">
        <v>88</v>
      </c>
      <c r="D34">
        <v>14132113</v>
      </c>
      <c r="E34">
        <v>8031562</v>
      </c>
      <c r="S34" t="str">
        <f t="shared" ca="1" si="0"/>
        <v/>
      </c>
    </row>
    <row r="35" spans="1:19" x14ac:dyDescent="0.2">
      <c r="A35" t="s">
        <v>63</v>
      </c>
      <c r="B35" t="s">
        <v>224</v>
      </c>
      <c r="D35">
        <v>17938</v>
      </c>
      <c r="E35">
        <v>-51945</v>
      </c>
      <c r="S35" t="str">
        <f t="shared" ca="1" si="0"/>
        <v/>
      </c>
    </row>
    <row r="36" spans="1:19" x14ac:dyDescent="0.2">
      <c r="A36" t="s">
        <v>63</v>
      </c>
      <c r="B36" t="s">
        <v>93</v>
      </c>
      <c r="D36">
        <v>118606</v>
      </c>
      <c r="E36">
        <v>128369</v>
      </c>
      <c r="S36" t="str">
        <f t="shared" ca="1" si="0"/>
        <v/>
      </c>
    </row>
    <row r="37" spans="1:19" x14ac:dyDescent="0.2">
      <c r="A37" t="s">
        <v>105</v>
      </c>
      <c r="D37">
        <v>2145579</v>
      </c>
      <c r="E37">
        <v>-1381059</v>
      </c>
      <c r="R37" t="s">
        <v>225</v>
      </c>
      <c r="S37" t="str">
        <f t="shared" ca="1" si="0"/>
        <v>✓</v>
      </c>
    </row>
    <row r="38" spans="1:19" x14ac:dyDescent="0.2">
      <c r="A38" t="s">
        <v>63</v>
      </c>
      <c r="B38" t="s">
        <v>226</v>
      </c>
      <c r="D38">
        <v>-191447</v>
      </c>
      <c r="E38">
        <v>-264423</v>
      </c>
      <c r="S38" t="str">
        <f t="shared" ca="1" si="0"/>
        <v/>
      </c>
    </row>
    <row r="39" spans="1:19" x14ac:dyDescent="0.2">
      <c r="A39" t="s">
        <v>63</v>
      </c>
      <c r="B39" t="s">
        <v>227</v>
      </c>
      <c r="C39" t="s">
        <v>210</v>
      </c>
      <c r="D39">
        <v>-37157</v>
      </c>
      <c r="E39">
        <v>-38122</v>
      </c>
      <c r="S39" t="str">
        <f t="shared" ca="1" si="0"/>
        <v/>
      </c>
    </row>
    <row r="40" spans="1:19" x14ac:dyDescent="0.2">
      <c r="A40" t="s">
        <v>81</v>
      </c>
      <c r="B40" t="s">
        <v>228</v>
      </c>
      <c r="D40">
        <v>1916975</v>
      </c>
      <c r="E40">
        <v>-1683604</v>
      </c>
      <c r="R40" t="s">
        <v>229</v>
      </c>
      <c r="S40" t="str">
        <f t="shared" ca="1" si="0"/>
        <v>✓</v>
      </c>
    </row>
    <row r="41" spans="1:19" x14ac:dyDescent="0.2">
      <c r="A41" t="s">
        <v>61</v>
      </c>
      <c r="B41" t="s">
        <v>230</v>
      </c>
      <c r="S41" t="str">
        <f t="shared" ca="1" si="0"/>
        <v/>
      </c>
    </row>
    <row r="42" spans="1:19" x14ac:dyDescent="0.2">
      <c r="A42" t="s">
        <v>63</v>
      </c>
      <c r="B42" t="s">
        <v>231</v>
      </c>
      <c r="D42">
        <v>4226697</v>
      </c>
      <c r="E42">
        <v>7019001</v>
      </c>
      <c r="S42" t="str">
        <f t="shared" ref="S42:S73" ca="1" si="1"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 spans="1:19" x14ac:dyDescent="0.2">
      <c r="A43" t="s">
        <v>63</v>
      </c>
      <c r="B43" t="s">
        <v>232</v>
      </c>
      <c r="D43">
        <v>-5910158</v>
      </c>
      <c r="E43">
        <v>-6531773</v>
      </c>
      <c r="S43" t="str">
        <f t="shared" ca="1" si="1"/>
        <v/>
      </c>
    </row>
    <row r="44" spans="1:19" x14ac:dyDescent="0.2">
      <c r="A44" t="s">
        <v>63</v>
      </c>
      <c r="B44" t="s">
        <v>233</v>
      </c>
      <c r="D44">
        <v>151499</v>
      </c>
      <c r="E44">
        <v>103008</v>
      </c>
      <c r="S44" t="str">
        <f t="shared" ca="1" si="1"/>
        <v/>
      </c>
    </row>
    <row r="45" spans="1:19" x14ac:dyDescent="0.2">
      <c r="A45" t="s">
        <v>63</v>
      </c>
      <c r="B45" t="s">
        <v>234</v>
      </c>
      <c r="C45" t="s">
        <v>76</v>
      </c>
      <c r="D45">
        <v>-76270</v>
      </c>
      <c r="E45" t="s">
        <v>148</v>
      </c>
      <c r="S45" t="str">
        <f t="shared" ca="1" si="1"/>
        <v/>
      </c>
    </row>
    <row r="46" spans="1:19" x14ac:dyDescent="0.2">
      <c r="A46" t="s">
        <v>63</v>
      </c>
      <c r="B46" t="s">
        <v>235</v>
      </c>
      <c r="C46" t="s">
        <v>76</v>
      </c>
      <c r="D46">
        <v>6549</v>
      </c>
      <c r="E46" t="s">
        <v>148</v>
      </c>
      <c r="S46" t="str">
        <f t="shared" ca="1" si="1"/>
        <v/>
      </c>
    </row>
    <row r="47" spans="1:19" x14ac:dyDescent="0.2">
      <c r="A47" t="s">
        <v>63</v>
      </c>
      <c r="B47" t="s">
        <v>236</v>
      </c>
      <c r="C47" t="s">
        <v>80</v>
      </c>
      <c r="D47">
        <v>-252641</v>
      </c>
      <c r="E47">
        <v>-203972</v>
      </c>
      <c r="S47" t="str">
        <f t="shared" ca="1" si="1"/>
        <v/>
      </c>
    </row>
    <row r="48" spans="1:19" x14ac:dyDescent="0.2">
      <c r="A48" t="s">
        <v>63</v>
      </c>
      <c r="B48" t="s">
        <v>237</v>
      </c>
      <c r="D48">
        <v>18</v>
      </c>
      <c r="E48">
        <v>56806</v>
      </c>
      <c r="S48" t="str">
        <f t="shared" ca="1" si="1"/>
        <v/>
      </c>
    </row>
    <row r="49" spans="1:19" x14ac:dyDescent="0.2">
      <c r="A49" t="s">
        <v>81</v>
      </c>
      <c r="B49" t="s">
        <v>238</v>
      </c>
      <c r="D49">
        <v>-1854306</v>
      </c>
      <c r="E49">
        <v>443070</v>
      </c>
      <c r="R49" t="s">
        <v>239</v>
      </c>
      <c r="S49" t="str">
        <f t="shared" ca="1" si="1"/>
        <v>✓</v>
      </c>
    </row>
    <row r="50" spans="1:19" x14ac:dyDescent="0.2">
      <c r="A50" t="s">
        <v>61</v>
      </c>
      <c r="B50" t="s">
        <v>240</v>
      </c>
      <c r="S50" t="str">
        <f t="shared" ca="1" si="1"/>
        <v/>
      </c>
    </row>
    <row r="51" spans="1:19" x14ac:dyDescent="0.2">
      <c r="A51" t="s">
        <v>63</v>
      </c>
      <c r="B51" t="s">
        <v>197</v>
      </c>
      <c r="C51" t="s">
        <v>109</v>
      </c>
      <c r="D51" t="s">
        <v>148</v>
      </c>
      <c r="E51">
        <v>2000000</v>
      </c>
      <c r="S51" t="str">
        <f t="shared" ca="1" si="1"/>
        <v/>
      </c>
    </row>
    <row r="52" spans="1:19" x14ac:dyDescent="0.2">
      <c r="A52" t="s">
        <v>63</v>
      </c>
      <c r="B52" t="s">
        <v>241</v>
      </c>
      <c r="E52">
        <v>-3996</v>
      </c>
      <c r="S52" t="str">
        <f t="shared" ca="1" si="1"/>
        <v/>
      </c>
    </row>
    <row r="53" spans="1:19" x14ac:dyDescent="0.2">
      <c r="A53" t="s">
        <v>63</v>
      </c>
      <c r="B53" t="s">
        <v>242</v>
      </c>
      <c r="D53">
        <v>-359508</v>
      </c>
      <c r="E53">
        <v>-284177</v>
      </c>
      <c r="S53" t="str">
        <f t="shared" ca="1" si="1"/>
        <v/>
      </c>
    </row>
    <row r="54" spans="1:19" x14ac:dyDescent="0.2">
      <c r="A54" t="s">
        <v>63</v>
      </c>
      <c r="B54" t="s">
        <v>243</v>
      </c>
      <c r="D54">
        <v>-3676</v>
      </c>
      <c r="E54">
        <v>-120</v>
      </c>
      <c r="S54" t="str">
        <f t="shared" ca="1" si="1"/>
        <v/>
      </c>
    </row>
    <row r="55" spans="1:19" x14ac:dyDescent="0.2">
      <c r="A55" t="s">
        <v>63</v>
      </c>
      <c r="B55" t="s">
        <v>244</v>
      </c>
      <c r="D55">
        <v>-97960</v>
      </c>
      <c r="E55">
        <v>-86133</v>
      </c>
      <c r="S55" t="str">
        <f t="shared" ca="1" si="1"/>
        <v/>
      </c>
    </row>
    <row r="56" spans="1:19" x14ac:dyDescent="0.2">
      <c r="A56" t="s">
        <v>81</v>
      </c>
      <c r="B56" t="s">
        <v>245</v>
      </c>
      <c r="D56">
        <v>-461144</v>
      </c>
      <c r="E56">
        <v>1625574</v>
      </c>
      <c r="R56" t="s">
        <v>246</v>
      </c>
      <c r="S56" t="str">
        <f t="shared" ca="1" si="1"/>
        <v>✓</v>
      </c>
    </row>
    <row r="57" spans="1:19" x14ac:dyDescent="0.2">
      <c r="A57" t="s">
        <v>81</v>
      </c>
      <c r="B57" t="s">
        <v>247</v>
      </c>
      <c r="D57">
        <v>-398475</v>
      </c>
      <c r="E57">
        <v>385040</v>
      </c>
      <c r="R57" t="s">
        <v>248</v>
      </c>
      <c r="S57" t="str">
        <f t="shared" ca="1" si="1"/>
        <v>✓</v>
      </c>
    </row>
    <row r="58" spans="1:19" x14ac:dyDescent="0.2">
      <c r="A58" t="s">
        <v>63</v>
      </c>
      <c r="B58" t="s">
        <v>249</v>
      </c>
      <c r="D58">
        <v>2722860</v>
      </c>
      <c r="E58">
        <v>2337820</v>
      </c>
      <c r="S58" t="str">
        <f t="shared" ca="1" si="1"/>
        <v/>
      </c>
    </row>
    <row r="59" spans="1:19" x14ac:dyDescent="0.2">
      <c r="A59" t="s">
        <v>81</v>
      </c>
      <c r="B59" t="s">
        <v>250</v>
      </c>
      <c r="C59" t="s">
        <v>251</v>
      </c>
      <c r="D59">
        <v>2324385</v>
      </c>
      <c r="E59">
        <v>2722860</v>
      </c>
      <c r="R59" t="s">
        <v>252</v>
      </c>
      <c r="S59" t="str">
        <f t="shared" ca="1" si="1"/>
        <v>✓</v>
      </c>
    </row>
    <row r="60" spans="1:19" x14ac:dyDescent="0.2">
      <c r="A60" t="s">
        <v>63</v>
      </c>
      <c r="B60" t="s">
        <v>253</v>
      </c>
      <c r="D60">
        <v>7729120</v>
      </c>
      <c r="E60">
        <v>5712036</v>
      </c>
      <c r="S60" t="str">
        <f t="shared" ca="1" si="1"/>
        <v/>
      </c>
    </row>
    <row r="61" spans="1:19" x14ac:dyDescent="0.2">
      <c r="A61" t="s">
        <v>63</v>
      </c>
      <c r="B61" t="s">
        <v>254</v>
      </c>
      <c r="D61">
        <v>5313334</v>
      </c>
      <c r="E61">
        <v>3619707</v>
      </c>
      <c r="S61" t="str">
        <f t="shared" ca="1" si="1"/>
        <v/>
      </c>
    </row>
    <row r="62" spans="1:19" x14ac:dyDescent="0.2">
      <c r="A62" t="s">
        <v>61</v>
      </c>
      <c r="B62" t="s">
        <v>255</v>
      </c>
      <c r="S62" t="str">
        <f t="shared" ca="1" si="1"/>
        <v/>
      </c>
    </row>
    <row r="63" spans="1:19" x14ac:dyDescent="0.2">
      <c r="A63" t="s">
        <v>63</v>
      </c>
      <c r="B63" t="s">
        <v>256</v>
      </c>
      <c r="D63">
        <v>7029</v>
      </c>
      <c r="E63">
        <v>-41945</v>
      </c>
      <c r="S63" t="str">
        <f t="shared" ca="1" si="1"/>
        <v/>
      </c>
    </row>
    <row r="64" spans="1:19" x14ac:dyDescent="0.2">
      <c r="S64" t="str">
        <f t="shared" ca="1" si="1"/>
        <v/>
      </c>
    </row>
    <row r="65" spans="19:19" x14ac:dyDescent="0.2">
      <c r="S65" t="str">
        <f t="shared" ca="1" si="1"/>
        <v/>
      </c>
    </row>
    <row r="66" spans="19:19" x14ac:dyDescent="0.2">
      <c r="S66" t="str">
        <f t="shared" ca="1" si="1"/>
        <v/>
      </c>
    </row>
    <row r="67" spans="19:19" x14ac:dyDescent="0.2">
      <c r="S67" t="str">
        <f t="shared" ca="1" si="1"/>
        <v/>
      </c>
    </row>
    <row r="68" spans="19:19" x14ac:dyDescent="0.2">
      <c r="S68" t="str">
        <f t="shared" ca="1" si="1"/>
        <v/>
      </c>
    </row>
    <row r="69" spans="19:19" x14ac:dyDescent="0.2">
      <c r="S69" t="str">
        <f t="shared" ca="1" si="1"/>
        <v/>
      </c>
    </row>
    <row r="70" spans="19:19" x14ac:dyDescent="0.2">
      <c r="S70" t="str">
        <f t="shared" ca="1" si="1"/>
        <v/>
      </c>
    </row>
    <row r="71" spans="19:19" x14ac:dyDescent="0.2">
      <c r="S71" t="str">
        <f t="shared" ca="1" si="1"/>
        <v/>
      </c>
    </row>
    <row r="72" spans="19:19" x14ac:dyDescent="0.2">
      <c r="S72" t="str">
        <f t="shared" ca="1" si="1"/>
        <v/>
      </c>
    </row>
    <row r="73" spans="19:19" x14ac:dyDescent="0.2">
      <c r="S73" t="str">
        <f t="shared" ca="1" si="1"/>
        <v/>
      </c>
    </row>
    <row r="74" spans="19:19" x14ac:dyDescent="0.2">
      <c r="S74" t="str">
        <f t="shared" ref="S74:S105" ca="1" si="2"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 spans="19:19" x14ac:dyDescent="0.2">
      <c r="S75" t="str">
        <f t="shared" ca="1" si="2"/>
        <v/>
      </c>
    </row>
    <row r="76" spans="19:19" x14ac:dyDescent="0.2">
      <c r="S76" t="str">
        <f t="shared" ca="1" si="2"/>
        <v/>
      </c>
    </row>
    <row r="77" spans="19:19" x14ac:dyDescent="0.2">
      <c r="S77" t="str">
        <f t="shared" ca="1" si="2"/>
        <v/>
      </c>
    </row>
    <row r="78" spans="19:19" x14ac:dyDescent="0.2">
      <c r="S78" t="str">
        <f t="shared" ca="1" si="2"/>
        <v/>
      </c>
    </row>
    <row r="79" spans="19:19" x14ac:dyDescent="0.2">
      <c r="S79" t="str">
        <f t="shared" ca="1" si="2"/>
        <v/>
      </c>
    </row>
    <row r="80" spans="19:19" x14ac:dyDescent="0.2">
      <c r="S80" t="str">
        <f t="shared" ca="1" si="2"/>
        <v/>
      </c>
    </row>
    <row r="81" spans="19:19" x14ac:dyDescent="0.2">
      <c r="S81" t="str">
        <f t="shared" ca="1" si="2"/>
        <v/>
      </c>
    </row>
    <row r="82" spans="19:19" x14ac:dyDescent="0.2">
      <c r="S82" t="str">
        <f t="shared" ca="1" si="2"/>
        <v/>
      </c>
    </row>
    <row r="83" spans="19:19" x14ac:dyDescent="0.2">
      <c r="S83" t="str">
        <f t="shared" ca="1" si="2"/>
        <v/>
      </c>
    </row>
    <row r="84" spans="19:19" x14ac:dyDescent="0.2">
      <c r="S84" t="str">
        <f t="shared" ca="1" si="2"/>
        <v/>
      </c>
    </row>
    <row r="85" spans="19:19" x14ac:dyDescent="0.2">
      <c r="S85" t="str">
        <f t="shared" ca="1" si="2"/>
        <v/>
      </c>
    </row>
    <row r="86" spans="19:19" x14ac:dyDescent="0.2">
      <c r="S86" t="str">
        <f t="shared" ca="1" si="2"/>
        <v/>
      </c>
    </row>
    <row r="87" spans="19:19" x14ac:dyDescent="0.2">
      <c r="S87" t="str">
        <f t="shared" ca="1" si="2"/>
        <v/>
      </c>
    </row>
    <row r="88" spans="19:19" x14ac:dyDescent="0.2">
      <c r="S88" t="str">
        <f t="shared" ca="1" si="2"/>
        <v/>
      </c>
    </row>
    <row r="89" spans="19:19" x14ac:dyDescent="0.2">
      <c r="S89" t="str">
        <f t="shared" ca="1" si="2"/>
        <v/>
      </c>
    </row>
    <row r="90" spans="19:19" x14ac:dyDescent="0.2">
      <c r="S90" t="str">
        <f t="shared" ca="1" si="2"/>
        <v/>
      </c>
    </row>
    <row r="91" spans="19:19" x14ac:dyDescent="0.2">
      <c r="S91" t="str">
        <f t="shared" ca="1" si="2"/>
        <v/>
      </c>
    </row>
    <row r="92" spans="19:19" x14ac:dyDescent="0.2">
      <c r="S92" t="str">
        <f t="shared" ca="1" si="2"/>
        <v/>
      </c>
    </row>
    <row r="93" spans="19:19" x14ac:dyDescent="0.2">
      <c r="S93" t="str">
        <f t="shared" ca="1" si="2"/>
        <v/>
      </c>
    </row>
    <row r="94" spans="19:19" x14ac:dyDescent="0.2">
      <c r="S94" t="str">
        <f t="shared" ca="1" si="2"/>
        <v/>
      </c>
    </row>
    <row r="95" spans="19:19" x14ac:dyDescent="0.2">
      <c r="S95" t="str">
        <f t="shared" ca="1" si="2"/>
        <v/>
      </c>
    </row>
    <row r="96" spans="19:19" x14ac:dyDescent="0.2">
      <c r="S96" t="str">
        <f t="shared" ca="1" si="2"/>
        <v/>
      </c>
    </row>
    <row r="97" spans="19:19" x14ac:dyDescent="0.2">
      <c r="S97" t="str">
        <f t="shared" ca="1" si="2"/>
        <v/>
      </c>
    </row>
    <row r="98" spans="19:19" x14ac:dyDescent="0.2">
      <c r="S98" t="str">
        <f t="shared" ca="1" si="2"/>
        <v/>
      </c>
    </row>
    <row r="99" spans="19:19" x14ac:dyDescent="0.2">
      <c r="S99" t="str">
        <f t="shared" ca="1" si="2"/>
        <v/>
      </c>
    </row>
    <row r="100" spans="19:19" x14ac:dyDescent="0.2">
      <c r="S100" t="str">
        <f t="shared" ca="1" si="2"/>
        <v/>
      </c>
    </row>
    <row r="101" spans="19:19" x14ac:dyDescent="0.2">
      <c r="S101" t="str">
        <f t="shared" ca="1" si="2"/>
        <v/>
      </c>
    </row>
    <row r="102" spans="19:19" x14ac:dyDescent="0.2">
      <c r="S102" t="str">
        <f t="shared" ca="1" si="2"/>
        <v/>
      </c>
    </row>
    <row r="103" spans="19:19" x14ac:dyDescent="0.2">
      <c r="S103" t="str">
        <f t="shared" ca="1" si="2"/>
        <v/>
      </c>
    </row>
    <row r="104" spans="19:19" x14ac:dyDescent="0.2">
      <c r="S104" t="str">
        <f t="shared" ca="1" si="2"/>
        <v/>
      </c>
    </row>
    <row r="105" spans="19:19" x14ac:dyDescent="0.2">
      <c r="S105" t="str">
        <f t="shared" ca="1" si="2"/>
        <v/>
      </c>
    </row>
    <row r="106" spans="19:19" x14ac:dyDescent="0.2">
      <c r="S106" t="str">
        <f t="shared" ref="S106:S137" ca="1" si="3"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 spans="19:19" x14ac:dyDescent="0.2">
      <c r="S107" t="str">
        <f t="shared" ca="1" si="3"/>
        <v/>
      </c>
    </row>
    <row r="108" spans="19:19" x14ac:dyDescent="0.2">
      <c r="S108" t="str">
        <f t="shared" ca="1" si="3"/>
        <v/>
      </c>
    </row>
    <row r="109" spans="19:19" x14ac:dyDescent="0.2">
      <c r="S109" t="str">
        <f t="shared" ca="1" si="3"/>
        <v/>
      </c>
    </row>
    <row r="110" spans="19:19" x14ac:dyDescent="0.2">
      <c r="S110" t="str">
        <f t="shared" ca="1" si="3"/>
        <v/>
      </c>
    </row>
    <row r="111" spans="19:19" x14ac:dyDescent="0.2">
      <c r="S111" t="str">
        <f t="shared" ca="1" si="3"/>
        <v/>
      </c>
    </row>
    <row r="112" spans="19:19" x14ac:dyDescent="0.2">
      <c r="S112" t="str">
        <f t="shared" ca="1" si="3"/>
        <v/>
      </c>
    </row>
    <row r="113" spans="19:19" x14ac:dyDescent="0.2">
      <c r="S113" t="str">
        <f t="shared" ca="1" si="3"/>
        <v/>
      </c>
    </row>
    <row r="114" spans="19:19" x14ac:dyDescent="0.2">
      <c r="S114" t="str">
        <f t="shared" ca="1" si="3"/>
        <v/>
      </c>
    </row>
    <row r="115" spans="19:19" x14ac:dyDescent="0.2">
      <c r="S115" t="str">
        <f t="shared" ca="1" si="3"/>
        <v/>
      </c>
    </row>
    <row r="116" spans="19:19" x14ac:dyDescent="0.2">
      <c r="S116" t="str">
        <f t="shared" ca="1" si="3"/>
        <v/>
      </c>
    </row>
    <row r="117" spans="19:19" x14ac:dyDescent="0.2">
      <c r="S117" t="str">
        <f t="shared" ca="1" si="3"/>
        <v/>
      </c>
    </row>
    <row r="118" spans="19:19" x14ac:dyDescent="0.2">
      <c r="S118" t="str">
        <f t="shared" ca="1" si="3"/>
        <v/>
      </c>
    </row>
    <row r="119" spans="19:19" x14ac:dyDescent="0.2">
      <c r="S119" t="str">
        <f t="shared" ca="1" si="3"/>
        <v/>
      </c>
    </row>
    <row r="120" spans="19:19" x14ac:dyDescent="0.2">
      <c r="S120" t="str">
        <f t="shared" ca="1" si="3"/>
        <v/>
      </c>
    </row>
    <row r="121" spans="19:19" x14ac:dyDescent="0.2">
      <c r="S121" t="str">
        <f t="shared" ca="1" si="3"/>
        <v/>
      </c>
    </row>
    <row r="122" spans="19:19" x14ac:dyDescent="0.2">
      <c r="S122" t="str">
        <f t="shared" ca="1" si="3"/>
        <v/>
      </c>
    </row>
    <row r="123" spans="19:19" x14ac:dyDescent="0.2">
      <c r="S123" t="str">
        <f t="shared" ca="1" si="3"/>
        <v/>
      </c>
    </row>
    <row r="124" spans="19:19" x14ac:dyDescent="0.2">
      <c r="S124" t="str">
        <f t="shared" ca="1" si="3"/>
        <v/>
      </c>
    </row>
    <row r="125" spans="19:19" x14ac:dyDescent="0.2">
      <c r="S125" t="str">
        <f t="shared" ca="1" si="3"/>
        <v/>
      </c>
    </row>
    <row r="126" spans="19:19" x14ac:dyDescent="0.2">
      <c r="S126" t="str">
        <f t="shared" ca="1" si="3"/>
        <v/>
      </c>
    </row>
    <row r="127" spans="19:19" x14ac:dyDescent="0.2">
      <c r="S127" t="str">
        <f t="shared" ca="1" si="3"/>
        <v/>
      </c>
    </row>
    <row r="128" spans="19:19" x14ac:dyDescent="0.2">
      <c r="S128" t="str">
        <f t="shared" ca="1" si="3"/>
        <v/>
      </c>
    </row>
    <row r="129" spans="19:19" x14ac:dyDescent="0.2">
      <c r="S129" t="str">
        <f t="shared" ca="1" si="3"/>
        <v/>
      </c>
    </row>
    <row r="130" spans="19:19" x14ac:dyDescent="0.2">
      <c r="S130" t="str">
        <f t="shared" ca="1" si="3"/>
        <v/>
      </c>
    </row>
    <row r="131" spans="19:19" x14ac:dyDescent="0.2">
      <c r="S131" t="str">
        <f t="shared" ca="1" si="3"/>
        <v/>
      </c>
    </row>
    <row r="132" spans="19:19" x14ac:dyDescent="0.2">
      <c r="S132" t="str">
        <f t="shared" ca="1" si="3"/>
        <v/>
      </c>
    </row>
    <row r="133" spans="19:19" x14ac:dyDescent="0.2">
      <c r="S133" t="str">
        <f t="shared" ca="1" si="3"/>
        <v/>
      </c>
    </row>
    <row r="134" spans="19:19" x14ac:dyDescent="0.2">
      <c r="S134" t="str">
        <f t="shared" ca="1" si="3"/>
        <v/>
      </c>
    </row>
    <row r="135" spans="19:19" x14ac:dyDescent="0.2">
      <c r="S135" t="str">
        <f t="shared" ca="1" si="3"/>
        <v/>
      </c>
    </row>
    <row r="136" spans="19:19" x14ac:dyDescent="0.2">
      <c r="S136" t="str">
        <f t="shared" ca="1" si="3"/>
        <v/>
      </c>
    </row>
    <row r="137" spans="19:19" x14ac:dyDescent="0.2">
      <c r="S137" t="str">
        <f t="shared" ca="1" si="3"/>
        <v/>
      </c>
    </row>
    <row r="138" spans="19:19" x14ac:dyDescent="0.2">
      <c r="S138" t="str">
        <f t="shared" ref="S138:S169" ca="1" si="4"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 spans="19:19" x14ac:dyDescent="0.2">
      <c r="S139" t="str">
        <f t="shared" ca="1" si="4"/>
        <v/>
      </c>
    </row>
    <row r="140" spans="19:19" x14ac:dyDescent="0.2">
      <c r="S140" t="str">
        <f t="shared" ca="1" si="4"/>
        <v/>
      </c>
    </row>
    <row r="141" spans="19:19" x14ac:dyDescent="0.2">
      <c r="S141" t="str">
        <f t="shared" ca="1" si="4"/>
        <v/>
      </c>
    </row>
    <row r="142" spans="19:19" x14ac:dyDescent="0.2">
      <c r="S142" t="str">
        <f t="shared" ca="1" si="4"/>
        <v/>
      </c>
    </row>
    <row r="143" spans="19:19" x14ac:dyDescent="0.2">
      <c r="S143" t="str">
        <f t="shared" ca="1" si="4"/>
        <v/>
      </c>
    </row>
    <row r="144" spans="19:19" x14ac:dyDescent="0.2">
      <c r="S144" t="str">
        <f t="shared" ca="1" si="4"/>
        <v/>
      </c>
    </row>
    <row r="145" spans="19:19" x14ac:dyDescent="0.2">
      <c r="S145" t="str">
        <f t="shared" ca="1" si="4"/>
        <v/>
      </c>
    </row>
    <row r="146" spans="19:19" x14ac:dyDescent="0.2">
      <c r="S146" t="str">
        <f t="shared" ca="1" si="4"/>
        <v/>
      </c>
    </row>
    <row r="147" spans="19:19" x14ac:dyDescent="0.2">
      <c r="S147" t="str">
        <f t="shared" ca="1" si="4"/>
        <v/>
      </c>
    </row>
    <row r="148" spans="19:19" x14ac:dyDescent="0.2">
      <c r="S148" t="str">
        <f t="shared" ca="1" si="4"/>
        <v/>
      </c>
    </row>
    <row r="149" spans="19:19" x14ac:dyDescent="0.2">
      <c r="S149" t="str">
        <f t="shared" ca="1" si="4"/>
        <v/>
      </c>
    </row>
    <row r="150" spans="19:19" x14ac:dyDescent="0.2">
      <c r="S150" t="str">
        <f t="shared" ca="1" si="4"/>
        <v/>
      </c>
    </row>
    <row r="151" spans="19:19" x14ac:dyDescent="0.2">
      <c r="S151" t="str">
        <f t="shared" ca="1" si="4"/>
        <v/>
      </c>
    </row>
    <row r="152" spans="19:19" x14ac:dyDescent="0.2">
      <c r="S152" t="str">
        <f t="shared" ca="1" si="4"/>
        <v/>
      </c>
    </row>
    <row r="153" spans="19:19" x14ac:dyDescent="0.2">
      <c r="S153" t="str">
        <f t="shared" ca="1" si="4"/>
        <v/>
      </c>
    </row>
    <row r="154" spans="19:19" x14ac:dyDescent="0.2">
      <c r="S154" t="str">
        <f t="shared" ca="1" si="4"/>
        <v/>
      </c>
    </row>
    <row r="155" spans="19:19" x14ac:dyDescent="0.2">
      <c r="S155" t="str">
        <f t="shared" ca="1" si="4"/>
        <v/>
      </c>
    </row>
    <row r="156" spans="19:19" x14ac:dyDescent="0.2">
      <c r="S156" t="str">
        <f t="shared" ca="1" si="4"/>
        <v/>
      </c>
    </row>
    <row r="157" spans="19:19" x14ac:dyDescent="0.2">
      <c r="S157" t="str">
        <f t="shared" ca="1" si="4"/>
        <v/>
      </c>
    </row>
    <row r="158" spans="19:19" x14ac:dyDescent="0.2">
      <c r="S158" t="str">
        <f t="shared" ca="1" si="4"/>
        <v/>
      </c>
    </row>
    <row r="159" spans="19:19" x14ac:dyDescent="0.2">
      <c r="S159" t="str">
        <f t="shared" ca="1" si="4"/>
        <v/>
      </c>
    </row>
    <row r="160" spans="19:19" x14ac:dyDescent="0.2">
      <c r="S160" t="str">
        <f t="shared" ca="1" si="4"/>
        <v/>
      </c>
    </row>
    <row r="161" spans="19:19" x14ac:dyDescent="0.2">
      <c r="S161" t="str">
        <f t="shared" ca="1" si="4"/>
        <v/>
      </c>
    </row>
    <row r="162" spans="19:19" x14ac:dyDescent="0.2">
      <c r="S162" t="str">
        <f t="shared" ca="1" si="4"/>
        <v/>
      </c>
    </row>
    <row r="163" spans="19:19" x14ac:dyDescent="0.2">
      <c r="S163" t="str">
        <f t="shared" ca="1" si="4"/>
        <v/>
      </c>
    </row>
    <row r="164" spans="19:19" x14ac:dyDescent="0.2">
      <c r="S164" t="str">
        <f t="shared" ca="1" si="4"/>
        <v/>
      </c>
    </row>
    <row r="165" spans="19:19" x14ac:dyDescent="0.2">
      <c r="S165" t="str">
        <f t="shared" ca="1" si="4"/>
        <v/>
      </c>
    </row>
    <row r="166" spans="19:19" x14ac:dyDescent="0.2">
      <c r="S166" t="str">
        <f t="shared" ca="1" si="4"/>
        <v/>
      </c>
    </row>
    <row r="167" spans="19:19" x14ac:dyDescent="0.2">
      <c r="S167" t="str">
        <f t="shared" ca="1" si="4"/>
        <v/>
      </c>
    </row>
    <row r="168" spans="19:19" x14ac:dyDescent="0.2">
      <c r="S168" t="str">
        <f t="shared" ca="1" si="4"/>
        <v/>
      </c>
    </row>
    <row r="169" spans="19:19" x14ac:dyDescent="0.2">
      <c r="S169" t="str">
        <f t="shared" ca="1" si="4"/>
        <v/>
      </c>
    </row>
    <row r="170" spans="19:19" x14ac:dyDescent="0.2">
      <c r="S170" t="str">
        <f t="shared" ref="S170:S201" ca="1" si="5"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 spans="19:19" x14ac:dyDescent="0.2">
      <c r="S171" t="str">
        <f t="shared" ca="1" si="5"/>
        <v/>
      </c>
    </row>
    <row r="172" spans="19:19" x14ac:dyDescent="0.2">
      <c r="S172" t="str">
        <f t="shared" ca="1" si="5"/>
        <v/>
      </c>
    </row>
    <row r="173" spans="19:19" x14ac:dyDescent="0.2">
      <c r="S173" t="str">
        <f t="shared" ca="1" si="5"/>
        <v/>
      </c>
    </row>
    <row r="174" spans="19:19" x14ac:dyDescent="0.2">
      <c r="S174" t="str">
        <f t="shared" ca="1" si="5"/>
        <v/>
      </c>
    </row>
    <row r="175" spans="19:19" x14ac:dyDescent="0.2">
      <c r="S175" t="str">
        <f t="shared" ca="1" si="5"/>
        <v/>
      </c>
    </row>
    <row r="176" spans="19:19" x14ac:dyDescent="0.2">
      <c r="S176" t="str">
        <f t="shared" ca="1" si="5"/>
        <v/>
      </c>
    </row>
    <row r="177" spans="19:19" x14ac:dyDescent="0.2">
      <c r="S177" t="str">
        <f t="shared" ca="1" si="5"/>
        <v/>
      </c>
    </row>
    <row r="178" spans="19:19" x14ac:dyDescent="0.2">
      <c r="S178" t="str">
        <f t="shared" ca="1" si="5"/>
        <v/>
      </c>
    </row>
    <row r="179" spans="19:19" x14ac:dyDescent="0.2">
      <c r="S179" t="str">
        <f t="shared" ca="1" si="5"/>
        <v/>
      </c>
    </row>
    <row r="180" spans="19:19" x14ac:dyDescent="0.2">
      <c r="S180" t="str">
        <f t="shared" ca="1" si="5"/>
        <v/>
      </c>
    </row>
    <row r="181" spans="19:19" x14ac:dyDescent="0.2">
      <c r="S181" t="str">
        <f t="shared" ca="1" si="5"/>
        <v/>
      </c>
    </row>
    <row r="182" spans="19:19" x14ac:dyDescent="0.2">
      <c r="S182" t="str">
        <f t="shared" ca="1" si="5"/>
        <v/>
      </c>
    </row>
    <row r="183" spans="19:19" x14ac:dyDescent="0.2">
      <c r="S183" t="str">
        <f t="shared" ca="1" si="5"/>
        <v/>
      </c>
    </row>
    <row r="184" spans="19:19" x14ac:dyDescent="0.2">
      <c r="S184" t="str">
        <f t="shared" ca="1" si="5"/>
        <v/>
      </c>
    </row>
    <row r="185" spans="19:19" x14ac:dyDescent="0.2">
      <c r="S185" t="str">
        <f t="shared" ca="1" si="5"/>
        <v/>
      </c>
    </row>
    <row r="186" spans="19:19" x14ac:dyDescent="0.2">
      <c r="S186" t="str">
        <f t="shared" ca="1" si="5"/>
        <v/>
      </c>
    </row>
    <row r="187" spans="19:19" x14ac:dyDescent="0.2">
      <c r="S187" t="str">
        <f t="shared" ca="1" si="5"/>
        <v/>
      </c>
    </row>
    <row r="188" spans="19:19" x14ac:dyDescent="0.2">
      <c r="S188" t="str">
        <f t="shared" ca="1" si="5"/>
        <v/>
      </c>
    </row>
    <row r="189" spans="19:19" x14ac:dyDescent="0.2">
      <c r="S189" t="str">
        <f t="shared" ca="1" si="5"/>
        <v/>
      </c>
    </row>
    <row r="190" spans="19:19" x14ac:dyDescent="0.2">
      <c r="S190" t="str">
        <f t="shared" ca="1" si="5"/>
        <v/>
      </c>
    </row>
    <row r="191" spans="19:19" x14ac:dyDescent="0.2">
      <c r="S191" t="str">
        <f t="shared" ca="1" si="5"/>
        <v/>
      </c>
    </row>
    <row r="192" spans="19:19" x14ac:dyDescent="0.2">
      <c r="S192" t="str">
        <f t="shared" ca="1" si="5"/>
        <v/>
      </c>
    </row>
    <row r="193" spans="19:19" x14ac:dyDescent="0.2">
      <c r="S193" t="str">
        <f t="shared" ca="1" si="5"/>
        <v/>
      </c>
    </row>
    <row r="194" spans="19:19" x14ac:dyDescent="0.2">
      <c r="S194" t="str">
        <f t="shared" ca="1" si="5"/>
        <v/>
      </c>
    </row>
    <row r="195" spans="19:19" x14ac:dyDescent="0.2">
      <c r="S195" t="str">
        <f t="shared" ca="1" si="5"/>
        <v/>
      </c>
    </row>
    <row r="196" spans="19:19" x14ac:dyDescent="0.2">
      <c r="S196" t="str">
        <f t="shared" ca="1" si="5"/>
        <v/>
      </c>
    </row>
    <row r="197" spans="19:19" x14ac:dyDescent="0.2">
      <c r="S197" t="str">
        <f t="shared" ca="1" si="5"/>
        <v/>
      </c>
    </row>
    <row r="198" spans="19:19" x14ac:dyDescent="0.2">
      <c r="S198" t="str">
        <f t="shared" ca="1" si="5"/>
        <v/>
      </c>
    </row>
    <row r="199" spans="19:19" x14ac:dyDescent="0.2">
      <c r="S199" t="str">
        <f t="shared" ca="1" si="5"/>
        <v/>
      </c>
    </row>
    <row r="200" spans="19:19" x14ac:dyDescent="0.2">
      <c r="S200" t="str">
        <f t="shared" ca="1" si="5"/>
        <v/>
      </c>
    </row>
    <row r="201" spans="19:19" x14ac:dyDescent="0.2">
      <c r="S201" t="str">
        <f t="shared" ca="1" si="5"/>
        <v/>
      </c>
    </row>
    <row r="202" spans="19:19" x14ac:dyDescent="0.2">
      <c r="S202" t="str">
        <f t="shared" ref="S202:S209" ca="1" si="6"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 spans="19:19" x14ac:dyDescent="0.2">
      <c r="S203" t="str">
        <f t="shared" ca="1" si="6"/>
        <v/>
      </c>
    </row>
    <row r="204" spans="19:19" x14ac:dyDescent="0.2">
      <c r="S204" t="str">
        <f t="shared" ca="1" si="6"/>
        <v/>
      </c>
    </row>
    <row r="205" spans="19:19" x14ac:dyDescent="0.2">
      <c r="S205" t="str">
        <f t="shared" ca="1" si="6"/>
        <v/>
      </c>
    </row>
    <row r="206" spans="19:19" x14ac:dyDescent="0.2">
      <c r="S206" t="str">
        <f t="shared" ca="1" si="6"/>
        <v/>
      </c>
    </row>
    <row r="207" spans="19:19" x14ac:dyDescent="0.2">
      <c r="S207" t="str">
        <f t="shared" ca="1" si="6"/>
        <v/>
      </c>
    </row>
    <row r="208" spans="19:19" x14ac:dyDescent="0.2">
      <c r="S208" t="str">
        <f t="shared" ca="1" si="6"/>
        <v/>
      </c>
    </row>
    <row r="209" spans="19:19" x14ac:dyDescent="0.2">
      <c r="S209" t="str">
        <f t="shared" ca="1" si="6"/>
        <v/>
      </c>
    </row>
  </sheetData>
  <conditionalFormatting sqref="S10:S209">
    <cfRule type="cellIs" dxfId="1" priority="1" operator="equal">
      <formula>"✗"</formula>
    </cfRule>
    <cfRule type="cellIs" dxfId="0" priority="2" operator="equal">
      <formula>"✓"</formula>
    </cfRule>
  </conditionalFormatting>
  <dataValidations count="3">
    <dataValidation type="list" sqref="B1" xr:uid="{00000000-0002-0000-0600-000000000000}">
      <formula1>"financial_position,income,comprehensive_income,income_and_comprehensive_income,changes_in_equity,changes_in_net_assets,cash_flows,other"</formula1>
    </dataValidation>
    <dataValidation type="list" sqref="B5" xr:uid="{00000000-0002-0000-0600-000001000000}">
      <formula1>"1,1000,1000000"</formula1>
    </dataValidation>
    <dataValidation type="list" allowBlank="1" sqref="A10:A209" xr:uid="{00000000-0002-0000-0600-000002000000}">
      <formula1>"section,item,subtotal,total"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filing</vt:lpstr>
      <vt:lpstr>1_financial_position</vt:lpstr>
      <vt:lpstr>2_income</vt:lpstr>
      <vt:lpstr>3_comprehensive_income</vt:lpstr>
      <vt:lpstr>4_changes_in_equity</vt:lpstr>
      <vt:lpstr>5_cash_flows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Bushra Asseri</cp:lastModifiedBy>
  <dcterms:created xsi:type="dcterms:W3CDTF">2026-09-27T20:15:45Z</dcterms:created>
  <dcterms:modified xsi:type="dcterms:W3CDTF">2026-10-02T13:19:16Z</dcterms:modified>
</cp:coreProperties>
</file>