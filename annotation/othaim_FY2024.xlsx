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ash_flows" sheetId="7" state="visible" r:id="rId7"/>
    <sheet xmlns:r="http://schemas.openxmlformats.org/officeDocument/2006/relationships" name="6_oth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othaim_FY2024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Abdullah Al-Othaim Markets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https://www.saudiexchange.sa/Resources/fsPdf/432_0_2025-04-08_22-14-35_Ar.pdf</t>
        </is>
      </c>
      <c r="C4" t="inlineStr"/>
    </row>
    <row r="5">
      <c r="A5" t="inlineStr">
        <is>
          <t>sha256</t>
        </is>
      </c>
      <c r="B5" t="inlineStr">
        <is>
          <t>5ceaeb7901cbcf4a1bed5a9d7bbbc9ce0cbb46b0dcd9371956f713dc743206d3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2024م</t>
        </is>
      </c>
      <c r="E7" s="5" t="inlineStr">
        <is>
          <t>31 ديسمبر 2023م (معدّلة إيضاح 37)</t>
        </is>
      </c>
      <c r="F7" s="5" t="inlineStr">
        <is>
          <t>1 يناير 2023م (معدّلة إيضاح 37)</t>
        </is>
      </c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>
        <is>
          <t>2023-01-01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الأصول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","")&amp;",")),F$10:F$209))))&lt;=1,TRUE)),"✓","✗"))</f>
        <v/>
      </c>
    </row>
    <row r="11">
      <c r="A11" t="inlineStr">
        <is>
          <t>section</t>
        </is>
      </c>
      <c r="B11" t="inlineStr">
        <is>
          <t>أصول غير 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","")&amp;",")),F$10:F$209))))&lt;=1,TRUE)),"✓","✗"))</f>
        <v/>
      </c>
    </row>
    <row r="12">
      <c r="A12" t="inlineStr">
        <is>
          <t>item</t>
        </is>
      </c>
      <c r="B12" t="inlineStr">
        <is>
          <t>عقارات وآلات ومعدات</t>
        </is>
      </c>
      <c r="C12" t="inlineStr">
        <is>
          <t>5</t>
        </is>
      </c>
      <c r="D12" t="n">
        <v>2091708241</v>
      </c>
      <c r="E12" t="n">
        <v>1716043917</v>
      </c>
      <c r="F12" t="n">
        <v>1509864723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","")&amp;",")),F$10:F$209))))&lt;=1,TRUE)),"✓","✗"))</f>
        <v/>
      </c>
    </row>
    <row r="13">
      <c r="A13" t="inlineStr">
        <is>
          <t>item</t>
        </is>
      </c>
      <c r="B13" t="inlineStr">
        <is>
          <t>أصول حق الاستخدام</t>
        </is>
      </c>
      <c r="C13" t="inlineStr">
        <is>
          <t>6-أ</t>
        </is>
      </c>
      <c r="D13" t="n">
        <v>2256715793</v>
      </c>
      <c r="E13" t="n">
        <v>1901296804</v>
      </c>
      <c r="F13" t="n">
        <v>1608312369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","")&amp;",")),F$10:F$209))))&lt;=1,TRUE)),"✓","✗"))</f>
        <v/>
      </c>
    </row>
    <row r="14">
      <c r="A14" t="inlineStr">
        <is>
          <t>item</t>
        </is>
      </c>
      <c r="B14" t="inlineStr">
        <is>
          <t>عقارات استثمارية</t>
        </is>
      </c>
      <c r="C14" t="inlineStr">
        <is>
          <t>7</t>
        </is>
      </c>
      <c r="D14" t="n">
        <v>644321112</v>
      </c>
      <c r="E14" t="n">
        <v>598427052</v>
      </c>
      <c r="F14" t="n">
        <v>383669868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","")&amp;",")),F$10:F$209))))&lt;=1,TRUE)),"✓","✗"))</f>
        <v/>
      </c>
    </row>
    <row r="15">
      <c r="A15" t="inlineStr">
        <is>
          <t>item</t>
        </is>
      </c>
      <c r="B15" t="inlineStr">
        <is>
          <t>أصول غير ملموسة</t>
        </is>
      </c>
      <c r="C15" t="inlineStr">
        <is>
          <t>8</t>
        </is>
      </c>
      <c r="D15" t="n">
        <v>5197529</v>
      </c>
      <c r="E15" t="n">
        <v>2219015</v>
      </c>
      <c r="F15" t="n">
        <v>1482972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","")&amp;",")),F$10:F$209))))&lt;=1,TRUE)),"✓","✗"))</f>
        <v/>
      </c>
    </row>
    <row r="16">
      <c r="A16" t="inlineStr">
        <is>
          <t>item</t>
        </is>
      </c>
      <c r="B16" t="inlineStr">
        <is>
          <t>أصول مالية بالتكلفة المطفأة وأخرى</t>
        </is>
      </c>
      <c r="C16" t="inlineStr">
        <is>
          <t>12</t>
        </is>
      </c>
      <c r="D16" t="n">
        <v>118137795</v>
      </c>
      <c r="E16" t="n">
        <v>137009981</v>
      </c>
      <c r="F16" t="n">
        <v>170257977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","")&amp;",")),F$10:F$209))))&lt;=1,TRUE)),"✓","✗"))</f>
        <v/>
      </c>
    </row>
    <row r="17">
      <c r="A17" t="inlineStr">
        <is>
          <t>item</t>
        </is>
      </c>
      <c r="B17" t="inlineStr">
        <is>
          <t>استثمارات في شركات زميلة ومشروع مشترك</t>
        </is>
      </c>
      <c r="C17" t="inlineStr">
        <is>
          <t>9</t>
        </is>
      </c>
      <c r="D17" t="n">
        <v>303064144</v>
      </c>
      <c r="E17" t="n">
        <v>194797870</v>
      </c>
      <c r="F17" t="n">
        <v>162268640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","")&amp;",")),F$10:F$209))))&lt;=1,TRUE)),"✓","✗"))</f>
        <v/>
      </c>
    </row>
    <row r="18">
      <c r="A18" t="inlineStr">
        <is>
          <t>item</t>
        </is>
      </c>
      <c r="B18" t="inlineStr">
        <is>
          <t>استثمارات في أدوات حقوق ملكية بالقيمة العادلة من خلال الدخل الشامل الآخر</t>
        </is>
      </c>
      <c r="C18" t="inlineStr">
        <is>
          <t>10</t>
        </is>
      </c>
      <c r="D18" t="n">
        <v>8300964</v>
      </c>
      <c r="E18" t="n">
        <v>3002069</v>
      </c>
      <c r="F18" t="n">
        <v>3002069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","")&amp;",")),F$10:F$209))))&lt;=1,TRUE)),"✓","✗"))</f>
        <v/>
      </c>
    </row>
    <row r="19">
      <c r="A19" t="inlineStr">
        <is>
          <t>subtotal</t>
        </is>
      </c>
      <c r="B19" t="inlineStr">
        <is>
          <t>مجموع الأصول غير المتداولة</t>
        </is>
      </c>
      <c r="C19" t="inlineStr"/>
      <c r="D19" t="n">
        <v>5427445578</v>
      </c>
      <c r="E19" t="n">
        <v>4552796708</v>
      </c>
      <c r="F19" t="n">
        <v>3838858618</v>
      </c>
      <c r="R19" t="inlineStr">
        <is>
          <t>12,13,14,15,16,17,18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","")&amp;",")),F$10:F$209))))&lt;=1,TRUE)),"✓","✗"))</f>
        <v/>
      </c>
    </row>
    <row r="20">
      <c r="A20" t="inlineStr">
        <is>
          <t>section</t>
        </is>
      </c>
      <c r="B20" t="inlineStr">
        <is>
          <t>أصول متداولة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","")&amp;",")),F$10:F$209))))&lt;=1,TRUE)),"✓","✗"))</f>
        <v/>
      </c>
    </row>
    <row r="21">
      <c r="A21" t="inlineStr">
        <is>
          <t>item</t>
        </is>
      </c>
      <c r="B21" t="inlineStr">
        <is>
          <t>مخزون</t>
        </is>
      </c>
      <c r="C21" t="inlineStr">
        <is>
          <t>11</t>
        </is>
      </c>
      <c r="D21" t="n">
        <v>1226332672</v>
      </c>
      <c r="E21" t="n">
        <v>1089686034</v>
      </c>
      <c r="F21" t="n">
        <v>941562039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","")&amp;",")),F$10:F$209))))&lt;=1,TRUE)),"✓","✗"))</f>
        <v/>
      </c>
    </row>
    <row r="22">
      <c r="A22" t="inlineStr">
        <is>
          <t>item</t>
        </is>
      </c>
      <c r="B22" t="inlineStr">
        <is>
          <t>دفعات مقدمة واصول متداولة اخرى</t>
        </is>
      </c>
      <c r="C22" t="inlineStr">
        <is>
          <t>13</t>
        </is>
      </c>
      <c r="D22" t="n">
        <v>191198007</v>
      </c>
      <c r="E22" t="n">
        <v>164997182</v>
      </c>
      <c r="F22" t="n">
        <v>157463191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","")&amp;",")),F$10:F$209))))&lt;=1,TRUE)),"✓","✗"))</f>
        <v/>
      </c>
    </row>
    <row r="23">
      <c r="A23" t="inlineStr">
        <is>
          <t>item</t>
        </is>
      </c>
      <c r="B23" t="inlineStr">
        <is>
          <t>ذمم مدينة تجارية</t>
        </is>
      </c>
      <c r="C23" t="inlineStr">
        <is>
          <t>14</t>
        </is>
      </c>
      <c r="D23" t="n">
        <v>56691649</v>
      </c>
      <c r="E23" t="n">
        <v>43009766</v>
      </c>
      <c r="F23" t="n">
        <v>34788377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","")&amp;",")),F$10:F$209))))&lt;=1,TRUE)),"✓","✗"))</f>
        <v/>
      </c>
    </row>
    <row r="24">
      <c r="A24" t="inlineStr">
        <is>
          <t>item</t>
        </is>
      </c>
      <c r="B24" t="inlineStr">
        <is>
          <t>أصول مالية وودائع مرابحة قصيرة الاجل</t>
        </is>
      </c>
      <c r="C24" t="inlineStr">
        <is>
          <t>16-أ</t>
        </is>
      </c>
      <c r="D24" t="n">
        <v>54276065</v>
      </c>
      <c r="E24" t="n">
        <v>66023330</v>
      </c>
      <c r="F24" t="n">
        <v>404619837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","")&amp;",")),F$10:F$209))))&lt;=1,TRUE)),"✓","✗"))</f>
        <v/>
      </c>
    </row>
    <row r="25">
      <c r="A25" t="inlineStr">
        <is>
          <t>item</t>
        </is>
      </c>
      <c r="B25" t="inlineStr">
        <is>
          <t>نقد وما في حكمه</t>
        </is>
      </c>
      <c r="C25" t="inlineStr">
        <is>
          <t>15</t>
        </is>
      </c>
      <c r="D25" t="n">
        <v>87539106</v>
      </c>
      <c r="E25" t="n">
        <v>181775625</v>
      </c>
      <c r="F25" t="n">
        <v>313074107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","")&amp;",")),F$10:F$209))))&lt;=1,TRUE)),"✓","✗"))</f>
        <v/>
      </c>
    </row>
    <row r="26">
      <c r="A26" t="inlineStr">
        <is>
          <t>subtotal</t>
        </is>
      </c>
      <c r="B26" t="inlineStr">
        <is>
          <t>مجموع الأصول المتداولة</t>
        </is>
      </c>
      <c r="C26" t="inlineStr"/>
      <c r="D26" t="n">
        <v>1616037499</v>
      </c>
      <c r="E26" t="n">
        <v>1545491937</v>
      </c>
      <c r="F26" t="n">
        <v>1851507551</v>
      </c>
      <c r="R26" t="inlineStr">
        <is>
          <t>21,22,23,24,25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","")&amp;",")),F$10:F$209))))&lt;=1,TRUE)),"✓","✗"))</f>
        <v/>
      </c>
    </row>
    <row r="27">
      <c r="A27" t="inlineStr">
        <is>
          <t>item</t>
        </is>
      </c>
      <c r="B27" t="inlineStr">
        <is>
          <t>أصول محتفظ بها للبيع</t>
        </is>
      </c>
      <c r="C27" t="inlineStr">
        <is>
          <t>17</t>
        </is>
      </c>
      <c r="D27" t="inlineStr">
        <is>
          <t>-</t>
        </is>
      </c>
      <c r="E27" t="n">
        <v>1011367</v>
      </c>
      <c r="F27" t="n">
        <v>87676466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","")&amp;",")),F$10:F$209))))&lt;=1,TRUE)),"✓","✗"))</f>
        <v/>
      </c>
    </row>
    <row r="28">
      <c r="A28" t="inlineStr">
        <is>
          <t>total</t>
        </is>
      </c>
      <c r="B28" t="inlineStr">
        <is>
          <t>مجموع الأصول</t>
        </is>
      </c>
      <c r="C28" t="inlineStr"/>
      <c r="D28" t="n">
        <v>7043483077</v>
      </c>
      <c r="E28" t="n">
        <v>6099300012</v>
      </c>
      <c r="F28" t="n">
        <v>5778042635</v>
      </c>
      <c r="R28" t="inlineStr">
        <is>
          <t>19,26,27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","")&amp;",")),F$10:F$209))))&lt;=1,TRUE)),"✓","✗"))</f>
        <v/>
      </c>
    </row>
    <row r="29">
      <c r="A29" t="inlineStr">
        <is>
          <t>section</t>
        </is>
      </c>
      <c r="B29" t="inlineStr">
        <is>
          <t>حقوق الملكية والالتزامات</t>
        </is>
      </c>
      <c r="C29" t="inlineStr"/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","")&amp;",")),F$10:F$209))))&lt;=1,TRUE)),"✓","✗"))</f>
        <v/>
      </c>
    </row>
    <row r="30">
      <c r="A30" t="inlineStr">
        <is>
          <t>section</t>
        </is>
      </c>
      <c r="B30" t="inlineStr">
        <is>
          <t>حقوق الملكية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","")&amp;",")),F$10:F$209))))&lt;=1,TRUE)),"✓","✗"))</f>
        <v/>
      </c>
    </row>
    <row r="31">
      <c r="A31" t="inlineStr">
        <is>
          <t>item</t>
        </is>
      </c>
      <c r="B31" t="inlineStr">
        <is>
          <t>رأس المال المدفوع</t>
        </is>
      </c>
      <c r="C31" t="inlineStr">
        <is>
          <t>18</t>
        </is>
      </c>
      <c r="D31" t="n">
        <v>900000000</v>
      </c>
      <c r="E31" t="n">
        <v>900000000</v>
      </c>
      <c r="F31" t="n">
        <v>900000000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","")&amp;",")),F$10:F$209))))&lt;=1,TRUE)),"✓","✗"))</f>
        <v/>
      </c>
    </row>
    <row r="32">
      <c r="A32" t="inlineStr">
        <is>
          <t>item</t>
        </is>
      </c>
      <c r="B32" t="inlineStr">
        <is>
          <t>احتياطي نظامي</t>
        </is>
      </c>
      <c r="C32" t="inlineStr">
        <is>
          <t>19</t>
        </is>
      </c>
      <c r="D32" t="inlineStr">
        <is>
          <t>-</t>
        </is>
      </c>
      <c r="E32" t="inlineStr">
        <is>
          <t>-</t>
        </is>
      </c>
      <c r="F32" t="n">
        <v>247787676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","")&amp;",")),F$10:F$209))))&lt;=1,TRUE)),"✓","✗"))</f>
        <v/>
      </c>
    </row>
    <row r="33">
      <c r="A33" t="inlineStr">
        <is>
          <t>item</t>
        </is>
      </c>
      <c r="B33" t="inlineStr">
        <is>
          <t>أرباح مبقاه</t>
        </is>
      </c>
      <c r="C33" t="inlineStr"/>
      <c r="D33" t="n">
        <v>478658307</v>
      </c>
      <c r="E33" t="n">
        <v>520573302</v>
      </c>
      <c r="F33" t="n">
        <v>330382983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","")&amp;",")),F$10:F$209))))&lt;=1,TRUE)),"✓","✗"))</f>
        <v/>
      </c>
    </row>
    <row r="34">
      <c r="A34" t="inlineStr">
        <is>
          <t>item</t>
        </is>
      </c>
      <c r="B34" t="inlineStr">
        <is>
          <t>احتياطي القيمة العادلة</t>
        </is>
      </c>
      <c r="C34" t="inlineStr">
        <is>
          <t>10</t>
        </is>
      </c>
      <c r="D34" t="n">
        <v>2843826</v>
      </c>
      <c r="E34" t="n">
        <v>-2455069</v>
      </c>
      <c r="F34" t="n">
        <v>-2455069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","")&amp;",")),F$10:F$209))))&lt;=1,TRUE)),"✓","✗"))</f>
        <v/>
      </c>
    </row>
    <row r="35">
      <c r="A35" t="inlineStr">
        <is>
          <t>item</t>
        </is>
      </c>
      <c r="B35" t="inlineStr">
        <is>
          <t>فروقات ترجمة عملة اجنبية لشركة تابعة في الخارج</t>
        </is>
      </c>
      <c r="C35" t="inlineStr"/>
      <c r="D35" t="n">
        <v>-8802768</v>
      </c>
      <c r="E35" t="n">
        <v>-5370413</v>
      </c>
      <c r="F35" t="n">
        <v>-5441017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","")&amp;",")),F$10:F$209))))&lt;=1,TRUE)),"✓","✗"))</f>
        <v/>
      </c>
    </row>
    <row r="36">
      <c r="A36" t="inlineStr">
        <is>
          <t>item</t>
        </is>
      </c>
      <c r="B36" t="inlineStr">
        <is>
          <t>الحصة في الخسارة الشاملة الاخرى للشركات الزميلة والمشروع المشترك</t>
        </is>
      </c>
      <c r="C36" t="inlineStr"/>
      <c r="D36" t="n">
        <v>-17362</v>
      </c>
      <c r="E36" t="inlineStr">
        <is>
          <t>-</t>
        </is>
      </c>
      <c r="F36" t="inlineStr">
        <is>
          <t>-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","")&amp;",")),F$10:F$209))))&lt;=1,TRUE)),"✓","✗"))</f>
        <v/>
      </c>
    </row>
    <row r="37">
      <c r="A37" t="inlineStr">
        <is>
          <t>subtotal</t>
        </is>
      </c>
      <c r="B37" t="inlineStr">
        <is>
          <t>مجموع حقوق مساهمي الشركة الأم</t>
        </is>
      </c>
      <c r="C37" t="inlineStr"/>
      <c r="D37" t="n">
        <v>1372682003</v>
      </c>
      <c r="E37" t="n">
        <v>1412747820</v>
      </c>
      <c r="F37" t="n">
        <v>1470274573</v>
      </c>
      <c r="R37" t="inlineStr">
        <is>
          <t>31,32,33,34,35,36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","")&amp;",")),F$10:F$209))))&lt;=1,TRUE)),"✓","✗"))</f>
        <v/>
      </c>
    </row>
    <row r="38">
      <c r="A38" t="inlineStr">
        <is>
          <t>item</t>
        </is>
      </c>
      <c r="B38" t="inlineStr">
        <is>
          <t>حقوق الملكية غير المسيطرة</t>
        </is>
      </c>
      <c r="C38" t="inlineStr"/>
      <c r="D38" t="n">
        <v>41854148</v>
      </c>
      <c r="E38" t="n">
        <v>41745889</v>
      </c>
      <c r="F38" t="n">
        <v>36948261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","")&amp;",")),F$10:F$209))))&lt;=1,TRUE)),"✓","✗"))</f>
        <v/>
      </c>
    </row>
    <row r="39">
      <c r="A39" t="inlineStr">
        <is>
          <t>total</t>
        </is>
      </c>
      <c r="B39" t="inlineStr">
        <is>
          <t>مجموع حقوق الملكية</t>
        </is>
      </c>
      <c r="C39" t="inlineStr"/>
      <c r="D39" t="n">
        <v>1414536151</v>
      </c>
      <c r="E39" t="n">
        <v>1454493709</v>
      </c>
      <c r="F39" t="n">
        <v>1507222834</v>
      </c>
      <c r="R39" t="inlineStr">
        <is>
          <t>37,38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","")&amp;",")),F$10:F$209))))&lt;=1,TRUE)),"✓","✗"))</f>
        <v/>
      </c>
    </row>
    <row r="40">
      <c r="A40" t="inlineStr">
        <is>
          <t>section</t>
        </is>
      </c>
      <c r="B40" t="inlineStr">
        <is>
          <t>التزامات غير متداولة</t>
        </is>
      </c>
      <c r="C40" t="inlineStr"/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","")&amp;",")),F$10:F$209))))&lt;=1,TRUE)),"✓","✗"))</f>
        <v/>
      </c>
    </row>
    <row r="41">
      <c r="A41" t="inlineStr">
        <is>
          <t>item</t>
        </is>
      </c>
      <c r="B41" t="inlineStr">
        <is>
          <t>التزامات عقود الإيجار</t>
        </is>
      </c>
      <c r="C41" t="inlineStr">
        <is>
          <t>6-ب</t>
        </is>
      </c>
      <c r="D41" t="n">
        <v>2326073495</v>
      </c>
      <c r="E41" t="n">
        <v>1903573796</v>
      </c>
      <c r="F41" t="n">
        <v>1574265858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","")&amp;",")),F$10:F$209))))&lt;=1,TRUE)),"✓","✗"))</f>
        <v/>
      </c>
    </row>
    <row r="42">
      <c r="A42" t="inlineStr">
        <is>
          <t>item</t>
        </is>
      </c>
      <c r="B42" t="inlineStr">
        <is>
          <t>التزام مكافآت نهاية الخدمة للموظفين</t>
        </is>
      </c>
      <c r="C42" t="inlineStr">
        <is>
          <t>20</t>
        </is>
      </c>
      <c r="D42" t="n">
        <v>336591030</v>
      </c>
      <c r="E42" t="n">
        <v>294561348</v>
      </c>
      <c r="F42" t="n">
        <v>249589307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","")&amp;",")),F$10:F$209))))&lt;=1,TRUE)),"✓","✗"))</f>
        <v/>
      </c>
    </row>
    <row r="43">
      <c r="A43" t="inlineStr">
        <is>
          <t>subtotal</t>
        </is>
      </c>
      <c r="B43" t="inlineStr">
        <is>
          <t>مجموع الالتزامات غير المتداولة</t>
        </is>
      </c>
      <c r="C43" t="inlineStr"/>
      <c r="D43" t="n">
        <v>2662664525</v>
      </c>
      <c r="E43" t="n">
        <v>2198135144</v>
      </c>
      <c r="F43" t="n">
        <v>1823855165</v>
      </c>
      <c r="R43" t="inlineStr">
        <is>
          <t>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","")&amp;",")),F$10:F$209))))&lt;=1,TRUE)),"✓","✗"))</f>
        <v/>
      </c>
    </row>
    <row r="44">
      <c r="A44" t="inlineStr">
        <is>
          <t>section</t>
        </is>
      </c>
      <c r="B44" t="inlineStr">
        <is>
          <t>التزامات متداولة</t>
        </is>
      </c>
      <c r="C44" t="inlineStr"/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","")&amp;",")),F$10:F$209))))&lt;=1,TRUE)),"✓","✗"))</f>
        <v/>
      </c>
    </row>
    <row r="45">
      <c r="A45" t="inlineStr">
        <is>
          <t>item</t>
        </is>
      </c>
      <c r="B45" t="inlineStr">
        <is>
          <t>قروض قصيرة الاجل</t>
        </is>
      </c>
      <c r="C45" t="inlineStr"/>
      <c r="D45" t="n">
        <v>315000000</v>
      </c>
      <c r="E45" t="inlineStr">
        <is>
          <t>-</t>
        </is>
      </c>
      <c r="F45" t="inlineStr">
        <is>
          <t>-</t>
        </is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","")&amp;",")),F$10:F$209))))&lt;=1,TRUE)),"✓","✗"))</f>
        <v/>
      </c>
    </row>
    <row r="46">
      <c r="A46" t="inlineStr">
        <is>
          <t>item</t>
        </is>
      </c>
      <c r="B46" t="inlineStr">
        <is>
          <t>ذمم دائنة</t>
        </is>
      </c>
      <c r="C46" t="inlineStr"/>
      <c r="D46" t="n">
        <v>1982437706</v>
      </c>
      <c r="E46" t="n">
        <v>1801415132</v>
      </c>
      <c r="F46" t="n">
        <v>1812744124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","")&amp;",")),F$10:F$209))))&lt;=1,TRUE)),"✓","✗"))</f>
        <v/>
      </c>
    </row>
    <row r="47">
      <c r="A47" t="inlineStr">
        <is>
          <t>item</t>
        </is>
      </c>
      <c r="B47" t="inlineStr">
        <is>
          <t>الجزء المتداول من التزامات عقود الإيجار</t>
        </is>
      </c>
      <c r="C47" t="inlineStr">
        <is>
          <t>6-ب</t>
        </is>
      </c>
      <c r="D47" t="n">
        <v>140723528</v>
      </c>
      <c r="E47" t="n">
        <v>147140558</v>
      </c>
      <c r="F47" t="n">
        <v>152183651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","")&amp;",")),F$10:F$209))))&lt;=1,TRUE)),"✓","✗"))</f>
        <v/>
      </c>
    </row>
    <row r="48">
      <c r="A48" t="inlineStr">
        <is>
          <t>item</t>
        </is>
      </c>
      <c r="B48" t="inlineStr">
        <is>
          <t>مصاريف مستحقة والتزامات متداولة اخرى</t>
        </is>
      </c>
      <c r="C48" t="inlineStr">
        <is>
          <t>23</t>
        </is>
      </c>
      <c r="D48" t="n">
        <v>507558222</v>
      </c>
      <c r="E48" t="n">
        <v>459655540</v>
      </c>
      <c r="F48" t="n">
        <v>447153979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","")&amp;",")),F$10:F$209))))&lt;=1,TRUE)),"✓","✗"))</f>
        <v/>
      </c>
    </row>
    <row r="49">
      <c r="A49" t="inlineStr">
        <is>
          <t>item</t>
        </is>
      </c>
      <c r="B49" t="inlineStr">
        <is>
          <t>مخصص الزكاة والضريبة الأجنبية</t>
        </is>
      </c>
      <c r="C49" t="inlineStr">
        <is>
          <t>24</t>
        </is>
      </c>
      <c r="D49" t="n">
        <v>20562945</v>
      </c>
      <c r="E49" t="n">
        <v>38459929</v>
      </c>
      <c r="F49" t="n">
        <v>34882882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","")&amp;",")),F$10:F$209))))&lt;=1,TRUE)),"✓","✗"))</f>
        <v/>
      </c>
    </row>
    <row r="50">
      <c r="A50" t="inlineStr">
        <is>
          <t>subtotal</t>
        </is>
      </c>
      <c r="B50" t="inlineStr">
        <is>
          <t>مجموع الالتزامات المتداولة</t>
        </is>
      </c>
      <c r="C50" t="inlineStr"/>
      <c r="D50" t="n">
        <v>2966282401</v>
      </c>
      <c r="E50" t="n">
        <v>2446671159</v>
      </c>
      <c r="F50" t="n">
        <v>2446964636</v>
      </c>
      <c r="R50" t="inlineStr">
        <is>
          <t>45,46,47,48,49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","")&amp;",")),F$10:F$209))))&lt;=1,TRUE)),"✓","✗"))</f>
        <v/>
      </c>
    </row>
    <row r="51">
      <c r="A51" t="inlineStr">
        <is>
          <t>total</t>
        </is>
      </c>
      <c r="B51" t="inlineStr">
        <is>
          <t>مجموع الالتزامات</t>
        </is>
      </c>
      <c r="C51" t="inlineStr"/>
      <c r="D51" t="n">
        <v>5628946926</v>
      </c>
      <c r="E51" t="n">
        <v>4644806303</v>
      </c>
      <c r="F51" t="n">
        <v>4270819801</v>
      </c>
      <c r="R51" t="inlineStr">
        <is>
          <t>43,50</t>
        </is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","")&amp;",")),F$10:F$209))))&lt;=1,TRUE)),"✓","✗"))</f>
        <v/>
      </c>
    </row>
    <row r="52">
      <c r="A52" t="inlineStr">
        <is>
          <t>total</t>
        </is>
      </c>
      <c r="B52" t="inlineStr">
        <is>
          <t>مجموع حقوق الملكية والالتزامات</t>
        </is>
      </c>
      <c r="C52" t="inlineStr"/>
      <c r="D52" t="n">
        <v>7043483077</v>
      </c>
      <c r="E52" t="n">
        <v>6099300012</v>
      </c>
      <c r="F52" t="n">
        <v>5778042635</v>
      </c>
      <c r="R52" t="inlineStr">
        <is>
          <t>39,51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الموحدة</t>
        </is>
      </c>
    </row>
    <row r="3">
      <c r="A3" s="3" t="inlineStr">
        <is>
          <t>pages</t>
        </is>
      </c>
      <c r="B3" s="4" t="inlineStr">
        <is>
          <t>8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(معدّلة إيضاح 37)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المبيعات</t>
        </is>
      </c>
      <c r="C10" t="inlineStr">
        <is>
          <t>28</t>
        </is>
      </c>
      <c r="D10" t="n">
        <v>10715716714</v>
      </c>
      <c r="E10" t="n">
        <v>10233719474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المبيعات</t>
        </is>
      </c>
      <c r="C11" t="inlineStr"/>
      <c r="D11" t="n">
        <v>-8304986328</v>
      </c>
      <c r="E11" t="n">
        <v>-7964925685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إجمالي الربح</t>
        </is>
      </c>
      <c r="C12" t="inlineStr"/>
      <c r="D12" t="n">
        <v>2410730386</v>
      </c>
      <c r="E12" t="n">
        <v>2268793789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إيرادات تأجير، صافي</t>
        </is>
      </c>
      <c r="C13" t="inlineStr">
        <is>
          <t>29</t>
        </is>
      </c>
      <c r="D13" t="n">
        <v>79075507</v>
      </c>
      <c r="E13" t="n">
        <v>71014942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عمولات بيع قسائم</t>
        </is>
      </c>
      <c r="C14" t="inlineStr"/>
      <c r="D14" t="n">
        <v>1943918</v>
      </c>
      <c r="E14" t="n">
        <v>2500251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مصاريف بيعية وتسويقية</t>
        </is>
      </c>
      <c r="C15" t="inlineStr">
        <is>
          <t>25</t>
        </is>
      </c>
      <c r="D15" t="n">
        <v>-1865631090</v>
      </c>
      <c r="E15" t="n">
        <v>-1739007589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مصاريف إدارية وعمومية</t>
        </is>
      </c>
      <c r="C16" t="inlineStr">
        <is>
          <t>26</t>
        </is>
      </c>
      <c r="D16" t="n">
        <v>-177081679</v>
      </c>
      <c r="E16" t="n">
        <v>-158849282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الربح من العمليات</t>
        </is>
      </c>
      <c r="C17" t="inlineStr"/>
      <c r="D17" t="n">
        <v>449037042</v>
      </c>
      <c r="E17" t="n">
        <v>444452111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الحصة في الربح للشركات الزميلة والمشروع المشترك، صافي</t>
        </is>
      </c>
      <c r="C18" t="inlineStr">
        <is>
          <t>9</t>
        </is>
      </c>
      <c r="D18" t="n">
        <v>198386036</v>
      </c>
      <c r="E18" t="n">
        <v>32334627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مكاسب بيع عقارات استثمارية، صافي</t>
        </is>
      </c>
      <c r="C19" t="inlineStr">
        <is>
          <t>32</t>
        </is>
      </c>
      <c r="D19" t="inlineStr">
        <is>
          <t>-</t>
        </is>
      </c>
      <c r="E19" t="n">
        <v>99475744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إيرادات تمويلية وودائع وأخرى</t>
        </is>
      </c>
      <c r="C20" t="inlineStr">
        <is>
          <t>16-ب</t>
        </is>
      </c>
      <c r="D20" t="n">
        <v>11559690</v>
      </c>
      <c r="E20" t="n">
        <v>23707843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تكاليف تمويل</t>
        </is>
      </c>
      <c r="C21" t="inlineStr">
        <is>
          <t>33</t>
        </is>
      </c>
      <c r="D21" t="n">
        <v>-160332710</v>
      </c>
      <c r="E21" t="n">
        <v>-113259796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عكس خسائر هبوط في عقارات وآلات ومعدات</t>
        </is>
      </c>
      <c r="C22" t="inlineStr">
        <is>
          <t>5</t>
        </is>
      </c>
      <c r="D22" t="inlineStr">
        <is>
          <t>-</t>
        </is>
      </c>
      <c r="E22" t="n">
        <v>4068057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إيرادات أخرى، صافي</t>
        </is>
      </c>
      <c r="C23" t="inlineStr">
        <is>
          <t>35</t>
        </is>
      </c>
      <c r="D23" t="n">
        <v>17047449</v>
      </c>
      <c r="E23" t="n">
        <v>14579468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الربح قبل الزكاة والضريبة الأجنبية</t>
        </is>
      </c>
      <c r="C24" t="inlineStr"/>
      <c r="D24" t="n">
        <v>515697507</v>
      </c>
      <c r="E24" t="n">
        <v>505358054</v>
      </c>
      <c r="R24" t="inlineStr">
        <is>
          <t>17,18,19,20,21,22,23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الزكاة والضريبة الأجنبية</t>
        </is>
      </c>
      <c r="C25" t="inlineStr">
        <is>
          <t>24</t>
        </is>
      </c>
      <c r="D25" t="n">
        <v>-17056983</v>
      </c>
      <c r="E25" t="n">
        <v>-17574928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عكس قيد زكاة متعلقة بسنوات سابقة</t>
        </is>
      </c>
      <c r="C26" t="inlineStr">
        <is>
          <t>24</t>
        </is>
      </c>
      <c r="D26" t="n">
        <v>17692592</v>
      </c>
      <c r="E26" t="n">
        <v>800038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total</t>
        </is>
      </c>
      <c r="B27" t="inlineStr">
        <is>
          <t>ربح السنة</t>
        </is>
      </c>
      <c r="C27" t="inlineStr"/>
      <c r="D27" t="n">
        <v>516333116</v>
      </c>
      <c r="E27" t="n">
        <v>488583164</v>
      </c>
      <c r="R27" t="inlineStr">
        <is>
          <t>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الربح العائد إلى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مساهمي الشركة الأم</t>
        </is>
      </c>
      <c r="C29" t="inlineStr"/>
      <c r="D29" t="n">
        <v>511021992</v>
      </c>
      <c r="E29" t="n">
        <v>482047729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حقوق الملكية غير المسيطرة</t>
        </is>
      </c>
      <c r="C30" t="inlineStr"/>
      <c r="D30" t="n">
        <v>5311124</v>
      </c>
      <c r="E30" t="n">
        <v>6535435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/>
      <c r="C31" t="inlineStr"/>
      <c r="D31" t="n">
        <v>516333116</v>
      </c>
      <c r="E31" t="n">
        <v>488583164</v>
      </c>
      <c r="R31" t="inlineStr">
        <is>
          <t>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ربحية السهم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ربحية السهم الأساسية والمخفضة من ربح للسنة العائد لمساهمي الشركة</t>
        </is>
      </c>
      <c r="C33" t="inlineStr">
        <is>
          <t>27</t>
        </is>
      </c>
      <c r="D33" t="n">
        <v>0.57</v>
      </c>
      <c r="E33" t="n">
        <v>0.54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(معدّلة إيضاح 37)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ربح السنة</t>
        </is>
      </c>
      <c r="C10" t="inlineStr"/>
      <c r="D10" t="n">
        <v>516333116</v>
      </c>
      <c r="E10" t="n">
        <v>488583164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الشامل الاخر (الخسارة الشاملة الأخرى)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بنود لا يمكن إعادة تصنيفها إلى قائمة الدخل في الفترات اللاحقة: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الخسائر الاكتوارية لمكافأة نهاية الخدمة للموظفين</t>
        </is>
      </c>
      <c r="C13" t="inlineStr">
        <is>
          <t>20</t>
        </is>
      </c>
      <c r="D13" t="n">
        <v>-13232652</v>
      </c>
      <c r="E13" t="n">
        <v>-21514936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صافي التغير في أدوات حقوق ملكية بالقيمة العادلة من خلال الدخل الشامل الآخر</t>
        </is>
      </c>
      <c r="C14" t="inlineStr">
        <is>
          <t>10</t>
        </is>
      </c>
      <c r="D14" t="n">
        <v>5298895</v>
      </c>
      <c r="E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section</t>
        </is>
      </c>
      <c r="B15" t="inlineStr">
        <is>
          <t>بنود يمكن إعادة تصنيفها إلى قائمة الدخل في الفترات اللاحقة:</t>
        </is>
      </c>
      <c r="C15" t="inlineStr"/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الحصة في الدخل الشامل الآخر (الخسارة الشاملة الأخرى) للشركات الزميلة والمشروع المشترك</t>
        </is>
      </c>
      <c r="C16" t="inlineStr">
        <is>
          <t>9</t>
        </is>
      </c>
      <c r="D16" t="n">
        <v>-119762</v>
      </c>
      <c r="E16" t="n">
        <v>194603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فروقات ترجمة عملة اجنبية لشركة تابعة في الخارج</t>
        </is>
      </c>
      <c r="C17" t="inlineStr"/>
      <c r="D17" t="n">
        <v>-3432355</v>
      </c>
      <c r="E17" t="n">
        <v>70604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subtotal</t>
        </is>
      </c>
      <c r="B18" t="inlineStr">
        <is>
          <t>الخسارة الشاملة الأخرى</t>
        </is>
      </c>
      <c r="C18" t="inlineStr"/>
      <c r="D18" t="n">
        <v>-11485874</v>
      </c>
      <c r="E18" t="n">
        <v>-21249729</v>
      </c>
      <c r="R18" t="inlineStr">
        <is>
          <t>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total</t>
        </is>
      </c>
      <c r="B19" t="inlineStr">
        <is>
          <t>إجمالي الدخل الشامل للسنة</t>
        </is>
      </c>
      <c r="C19" t="inlineStr"/>
      <c r="D19" t="n">
        <v>504847242</v>
      </c>
      <c r="E19" t="n">
        <v>467333435</v>
      </c>
      <c r="R19" t="inlineStr">
        <is>
          <t>10,18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section</t>
        </is>
      </c>
      <c r="B20" t="inlineStr">
        <is>
          <t>العائد إلى: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مساهمي الشركة الأم</t>
        </is>
      </c>
      <c r="C21" t="inlineStr"/>
      <c r="D21" t="n">
        <v>499934183</v>
      </c>
      <c r="E21" t="n">
        <v>459973247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حقوق الملكية غير المسيطرة</t>
        </is>
      </c>
      <c r="C22" t="inlineStr"/>
      <c r="D22" t="n">
        <v>4913059</v>
      </c>
      <c r="E22" t="n">
        <v>7360188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total</t>
        </is>
      </c>
      <c r="B23" t="inlineStr"/>
      <c r="C23" t="inlineStr"/>
      <c r="D23" t="n">
        <v>504847242</v>
      </c>
      <c r="E23" t="n">
        <v>467333435</v>
      </c>
      <c r="R23" t="inlineStr">
        <is>
          <t>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 المدفوع</t>
        </is>
      </c>
      <c r="E7" s="5" t="inlineStr">
        <is>
          <t>الاحتياطي النظامي</t>
        </is>
      </c>
      <c r="F7" s="5" t="inlineStr">
        <is>
          <t>الأرباح المبقاة</t>
        </is>
      </c>
      <c r="G7" s="5" t="inlineStr">
        <is>
          <t>احتياطي القيمة العادلة</t>
        </is>
      </c>
      <c r="H7" s="5" t="inlineStr">
        <is>
          <t>فروقات ترجمة عملة اجنبية لشركة تابعة في الخارج</t>
        </is>
      </c>
      <c r="I7" s="5" t="inlineStr">
        <is>
          <t>الحصة في الدخل الشامل الآخر للشركات الزميلة والمشروع المشترك</t>
        </is>
      </c>
      <c r="J7" s="5" t="inlineStr">
        <is>
          <t>مجموع حقوق مساهمي الشركة الأم</t>
        </is>
      </c>
      <c r="K7" s="5" t="inlineStr">
        <is>
          <t>حقوق الملكية غير المسيطرة</t>
        </is>
      </c>
      <c r="L7" s="5" t="inlineStr">
        <is>
          <t>مجموع حقوق الملكية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للسنة المنتهية في 31 ديسمبر 2023م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","")&amp;",")),L$10:L$209))))&lt;=1,TRUE)),"✓","✗"))</f>
        <v/>
      </c>
    </row>
    <row r="11">
      <c r="A11" t="inlineStr">
        <is>
          <t>item</t>
        </is>
      </c>
      <c r="B11" t="inlineStr">
        <is>
          <t>الرصيد كما في 1 يناير 2023م - كما عرض سابقا</t>
        </is>
      </c>
      <c r="C11" t="inlineStr"/>
      <c r="D11" t="n">
        <v>900000000</v>
      </c>
      <c r="E11" t="n">
        <v>247787676</v>
      </c>
      <c r="F11" t="n">
        <v>267309239</v>
      </c>
      <c r="G11" t="n">
        <v>-2455069</v>
      </c>
      <c r="H11" t="n">
        <v>-5441017</v>
      </c>
      <c r="I11" t="inlineStr">
        <is>
          <t>-</t>
        </is>
      </c>
      <c r="J11" t="n">
        <v>1407200829</v>
      </c>
      <c r="K11" t="n">
        <v>36948261</v>
      </c>
      <c r="L11" t="n">
        <v>1444149090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","")&amp;",")),L$10:L$209))))&lt;=1,TRUE)),"✓","✗"))</f>
        <v/>
      </c>
    </row>
    <row r="12">
      <c r="A12" t="inlineStr">
        <is>
          <t>item</t>
        </is>
      </c>
      <c r="B12" t="inlineStr">
        <is>
          <t>تعديلات سنوات سابقة (ايضاح 37)</t>
        </is>
      </c>
      <c r="C12" t="inlineStr"/>
      <c r="D12" t="inlineStr">
        <is>
          <t>-</t>
        </is>
      </c>
      <c r="E12" t="inlineStr">
        <is>
          <t>-</t>
        </is>
      </c>
      <c r="F12" t="n">
        <v>63073744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63073744</v>
      </c>
      <c r="K12" t="inlineStr">
        <is>
          <t>-</t>
        </is>
      </c>
      <c r="L12" t="n">
        <v>63073744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","")&amp;",")),L$10:L$209))))&lt;=1,TRUE)),"✓","✗"))</f>
        <v/>
      </c>
    </row>
    <row r="13">
      <c r="A13" t="inlineStr">
        <is>
          <t>subtotal</t>
        </is>
      </c>
      <c r="B13" t="inlineStr">
        <is>
          <t>الرصيد كما في 1 يناير 2023م (معدّل إيضاح 37)</t>
        </is>
      </c>
      <c r="C13" t="inlineStr"/>
      <c r="D13" t="n">
        <v>900000000</v>
      </c>
      <c r="E13" t="n">
        <v>247787676</v>
      </c>
      <c r="F13" t="n">
        <v>330382983</v>
      </c>
      <c r="G13" t="n">
        <v>-2455069</v>
      </c>
      <c r="H13" t="n">
        <v>-5441017</v>
      </c>
      <c r="I13" t="inlineStr">
        <is>
          <t>-</t>
        </is>
      </c>
      <c r="J13" t="n">
        <v>1470274573</v>
      </c>
      <c r="K13" t="n">
        <v>36948261</v>
      </c>
      <c r="L13" t="n">
        <v>1507222834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","")&amp;",")),L$10:L$209))))&lt;=1,TRUE)),"✓","✗"))</f>
        <v/>
      </c>
    </row>
    <row r="14">
      <c r="A14" t="inlineStr">
        <is>
          <t>item</t>
        </is>
      </c>
      <c r="B14" t="inlineStr">
        <is>
          <t>صافي الربح (معدّل إيضاح 37)</t>
        </is>
      </c>
      <c r="C14" t="inlineStr"/>
      <c r="D14" t="inlineStr">
        <is>
          <t>-</t>
        </is>
      </c>
      <c r="E14" t="inlineStr">
        <is>
          <t>-</t>
        </is>
      </c>
      <c r="F14" t="n">
        <v>482047729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482047729</v>
      </c>
      <c r="K14" t="n">
        <v>6535435</v>
      </c>
      <c r="L14" t="n">
        <v>488583164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","")&amp;",")),L$10:L$209))))&lt;=1,TRUE)),"✓","✗"))</f>
        <v/>
      </c>
    </row>
    <row r="15">
      <c r="A15" t="inlineStr">
        <is>
          <t>item</t>
        </is>
      </c>
      <c r="B15" t="inlineStr">
        <is>
          <t>(الخسارة) الدخل الشامل الاخر للسنة</t>
        </is>
      </c>
      <c r="C15" t="inlineStr"/>
      <c r="D15" t="inlineStr">
        <is>
          <t>-</t>
        </is>
      </c>
      <c r="E15" t="inlineStr">
        <is>
          <t>-</t>
        </is>
      </c>
      <c r="F15" t="n">
        <v>-22339689</v>
      </c>
      <c r="G15" t="inlineStr">
        <is>
          <t>-</t>
        </is>
      </c>
      <c r="H15" t="n">
        <v>70604</v>
      </c>
      <c r="I15" t="n">
        <v>194603</v>
      </c>
      <c r="J15" t="n">
        <v>-22074482</v>
      </c>
      <c r="K15" t="n">
        <v>824753</v>
      </c>
      <c r="L15" t="n">
        <v>-21249729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","")&amp;",")),L$10:L$209))))&lt;=1,TRUE)),"✓","✗"))</f>
        <v/>
      </c>
    </row>
    <row r="16">
      <c r="A16" t="inlineStr">
        <is>
          <t>subtotal</t>
        </is>
      </c>
      <c r="B16" t="inlineStr">
        <is>
          <t>إجمالي الدخل الشامل للسنة (معدّل إيضاح 37)</t>
        </is>
      </c>
      <c r="C16" t="inlineStr"/>
      <c r="D16" t="inlineStr">
        <is>
          <t>-</t>
        </is>
      </c>
      <c r="E16" t="inlineStr">
        <is>
          <t>-</t>
        </is>
      </c>
      <c r="F16" t="n">
        <v>459708040</v>
      </c>
      <c r="G16" t="inlineStr">
        <is>
          <t>-</t>
        </is>
      </c>
      <c r="H16" t="n">
        <v>70604</v>
      </c>
      <c r="I16" t="n">
        <v>194603</v>
      </c>
      <c r="J16" t="n">
        <v>459973247</v>
      </c>
      <c r="K16" t="n">
        <v>7360188</v>
      </c>
      <c r="L16" t="n">
        <v>467333435</v>
      </c>
      <c r="R16" t="inlineStr">
        <is>
          <t>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","")&amp;",")),L$10:L$209))))&lt;=1,TRUE)),"✓","✗"))</f>
        <v/>
      </c>
    </row>
    <row r="17">
      <c r="A17" t="inlineStr">
        <is>
          <t>item</t>
        </is>
      </c>
      <c r="B17" t="inlineStr">
        <is>
          <t>تسويات متعلقة بشركات زميلة ومشروع مشترك</t>
        </is>
      </c>
      <c r="C17" t="inlineStr"/>
      <c r="D17" t="inlineStr">
        <is>
          <t>-</t>
        </is>
      </c>
      <c r="E17" t="inlineStr">
        <is>
          <t>-</t>
        </is>
      </c>
      <c r="F17" t="n">
        <v>194603</v>
      </c>
      <c r="G17" t="inlineStr">
        <is>
          <t>-</t>
        </is>
      </c>
      <c r="H17" t="inlineStr">
        <is>
          <t>-</t>
        </is>
      </c>
      <c r="I17" t="n">
        <v>-194603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","")&amp;",")),L$10:L$209))))&lt;=1,TRUE)),"✓","✗"))</f>
        <v/>
      </c>
    </row>
    <row r="18">
      <c r="A18" t="inlineStr">
        <is>
          <t>item</t>
        </is>
      </c>
      <c r="B18" t="inlineStr">
        <is>
          <t>محول من احتياطي نظامي (إيضاح 19)</t>
        </is>
      </c>
      <c r="C18" t="inlineStr"/>
      <c r="D18" t="inlineStr">
        <is>
          <t>-</t>
        </is>
      </c>
      <c r="E18" t="n">
        <v>-247787676</v>
      </c>
      <c r="F18" t="n">
        <v>247787676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","")&amp;",")),L$10:L$209))))&lt;=1,TRUE)),"✓","✗"))</f>
        <v/>
      </c>
    </row>
    <row r="19">
      <c r="A19" t="inlineStr">
        <is>
          <t>item</t>
        </is>
      </c>
      <c r="B19" t="inlineStr">
        <is>
          <t>توزيعات أرباح نقدية (إيضاح 34)</t>
        </is>
      </c>
      <c r="C19" t="inlineStr"/>
      <c r="D19" t="inlineStr">
        <is>
          <t>-</t>
        </is>
      </c>
      <c r="E19" t="inlineStr">
        <is>
          <t>-</t>
        </is>
      </c>
      <c r="F19" t="n">
        <v>-517500000</v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-517500000</v>
      </c>
      <c r="K19" t="n">
        <v>-2562560</v>
      </c>
      <c r="L19" t="n">
        <v>-520062560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","")&amp;",")),L$10:L$209))))&lt;=1,TRUE)),"✓","✗"))</f>
        <v/>
      </c>
    </row>
    <row r="20">
      <c r="A20" t="inlineStr">
        <is>
          <t>total</t>
        </is>
      </c>
      <c r="B20" t="inlineStr">
        <is>
          <t>الرصيد كما في 31 ديسمبر 2023م (معدّل إيضاح 37)</t>
        </is>
      </c>
      <c r="C20" t="inlineStr"/>
      <c r="D20" t="n">
        <v>900000000</v>
      </c>
      <c r="E20" t="inlineStr">
        <is>
          <t>-</t>
        </is>
      </c>
      <c r="F20" t="n">
        <v>520573302</v>
      </c>
      <c r="G20" t="n">
        <v>-2455069</v>
      </c>
      <c r="H20" t="n">
        <v>-5370413</v>
      </c>
      <c r="I20" t="inlineStr">
        <is>
          <t>-</t>
        </is>
      </c>
      <c r="J20" t="n">
        <v>1412747820</v>
      </c>
      <c r="K20" t="n">
        <v>41745889</v>
      </c>
      <c r="L20" t="n">
        <v>1454493709</v>
      </c>
      <c r="R20" t="inlineStr">
        <is>
          <t>13,16,17,18,19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","")&amp;",")),L$10:L$209))))&lt;=1,TRUE)),"✓","✗"))</f>
        <v/>
      </c>
    </row>
    <row r="21">
      <c r="A21" t="inlineStr">
        <is>
          <t>section</t>
        </is>
      </c>
      <c r="B21" t="inlineStr">
        <is>
          <t>للسنة المنتهية في 31 ديسمبر 2024م</t>
        </is>
      </c>
      <c r="C21" t="inlineStr"/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","")&amp;",")),L$10:L$209))))&lt;=1,TRUE)),"✓","✗"))</f>
        <v/>
      </c>
    </row>
    <row r="22">
      <c r="A22" t="inlineStr">
        <is>
          <t>item</t>
        </is>
      </c>
      <c r="B22" t="inlineStr">
        <is>
          <t>الرصيد كما في 1 يناير 2024م (معدّل إيضاح 37)</t>
        </is>
      </c>
      <c r="C22" t="inlineStr"/>
      <c r="D22" t="n">
        <v>900000000</v>
      </c>
      <c r="E22" t="inlineStr">
        <is>
          <t>-</t>
        </is>
      </c>
      <c r="F22" t="n">
        <v>520573302</v>
      </c>
      <c r="G22" t="n">
        <v>-2455069</v>
      </c>
      <c r="H22" t="n">
        <v>-5370413</v>
      </c>
      <c r="I22" t="inlineStr">
        <is>
          <t>-</t>
        </is>
      </c>
      <c r="J22" t="n">
        <v>1412747820</v>
      </c>
      <c r="K22" t="n">
        <v>41745889</v>
      </c>
      <c r="L22" t="n">
        <v>1454493709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","")&amp;",")),L$10:L$209))))&lt;=1,TRUE)),"✓","✗"))</f>
        <v/>
      </c>
    </row>
    <row r="23">
      <c r="A23" t="inlineStr">
        <is>
          <t>item</t>
        </is>
      </c>
      <c r="B23" t="inlineStr">
        <is>
          <t>صافي الربح</t>
        </is>
      </c>
      <c r="C23" t="inlineStr"/>
      <c r="D23" t="inlineStr">
        <is>
          <t>-</t>
        </is>
      </c>
      <c r="E23" t="inlineStr">
        <is>
          <t>-</t>
        </is>
      </c>
      <c r="F23" t="n">
        <v>511021992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511021992</v>
      </c>
      <c r="K23" t="n">
        <v>5311124</v>
      </c>
      <c r="L23" t="n">
        <v>516333116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","")&amp;",")),L$10:L$209))))&lt;=1,TRUE)),"✓","✗"))</f>
        <v/>
      </c>
    </row>
    <row r="24">
      <c r="A24" t="inlineStr">
        <is>
          <t>item</t>
        </is>
      </c>
      <c r="B24" t="inlineStr">
        <is>
          <t>(الخسارة) الدخل الشامل الاخر للسنة</t>
        </is>
      </c>
      <c r="C24" t="inlineStr"/>
      <c r="D24" t="inlineStr">
        <is>
          <t>-</t>
        </is>
      </c>
      <c r="E24" t="inlineStr">
        <is>
          <t>-</t>
        </is>
      </c>
      <c r="F24" t="n">
        <v>-12834587</v>
      </c>
      <c r="G24" t="n">
        <v>5298895</v>
      </c>
      <c r="H24" t="n">
        <v>-3432355</v>
      </c>
      <c r="I24" t="n">
        <v>-119762</v>
      </c>
      <c r="J24" t="n">
        <v>-11087809</v>
      </c>
      <c r="K24" t="n">
        <v>-398065</v>
      </c>
      <c r="L24" t="n">
        <v>-11485874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","")&amp;",")),L$10:L$209))))&lt;=1,TRUE)),"✓","✗"))</f>
        <v/>
      </c>
    </row>
    <row r="25">
      <c r="A25" t="inlineStr">
        <is>
          <t>subtotal</t>
        </is>
      </c>
      <c r="B25" t="inlineStr">
        <is>
          <t>إجمالي الدخل الشامل للسنة</t>
        </is>
      </c>
      <c r="C25" t="inlineStr"/>
      <c r="D25" t="inlineStr">
        <is>
          <t>-</t>
        </is>
      </c>
      <c r="E25" t="inlineStr">
        <is>
          <t>-</t>
        </is>
      </c>
      <c r="F25" t="n">
        <v>498187405</v>
      </c>
      <c r="G25" t="n">
        <v>5298895</v>
      </c>
      <c r="H25" t="n">
        <v>-3432355</v>
      </c>
      <c r="I25" t="n">
        <v>-119762</v>
      </c>
      <c r="J25" t="n">
        <v>499934183</v>
      </c>
      <c r="K25" t="n">
        <v>4913059</v>
      </c>
      <c r="L25" t="n">
        <v>504847242</v>
      </c>
      <c r="R25" t="inlineStr">
        <is>
          <t>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","")&amp;",")),L$10:L$209))))&lt;=1,TRUE)),"✓","✗"))</f>
        <v/>
      </c>
    </row>
    <row r="26">
      <c r="A26" t="inlineStr">
        <is>
          <t>item</t>
        </is>
      </c>
      <c r="B26" t="inlineStr">
        <is>
          <t>تسويات متعلقة بشركات زميلة ومشروع مشترك</t>
        </is>
      </c>
      <c r="C26" t="inlineStr"/>
      <c r="D26" t="inlineStr">
        <is>
          <t>-</t>
        </is>
      </c>
      <c r="E26" t="inlineStr">
        <is>
          <t>-</t>
        </is>
      </c>
      <c r="F26" t="n">
        <v>-102400</v>
      </c>
      <c r="G26" t="inlineStr">
        <is>
          <t>-</t>
        </is>
      </c>
      <c r="H26" t="inlineStr">
        <is>
          <t>-</t>
        </is>
      </c>
      <c r="I26" t="n">
        <v>102400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","")&amp;",")),L$10:L$209))))&lt;=1,TRUE)),"✓","✗"))</f>
        <v/>
      </c>
    </row>
    <row r="27">
      <c r="A27" t="inlineStr">
        <is>
          <t>item</t>
        </is>
      </c>
      <c r="B27" t="inlineStr">
        <is>
          <t>توزيعات أرباح نقدية (إيضاح 34)</t>
        </is>
      </c>
      <c r="C27" t="inlineStr"/>
      <c r="D27" t="inlineStr">
        <is>
          <t>-</t>
        </is>
      </c>
      <c r="E27" t="inlineStr">
        <is>
          <t>-</t>
        </is>
      </c>
      <c r="F27" t="n">
        <v>-540000000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-540000000</v>
      </c>
      <c r="K27" t="n">
        <v>-4804800</v>
      </c>
      <c r="L27" t="n">
        <v>-544804800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","")&amp;",")),L$10:L$209))))&lt;=1,TRUE)),"✓","✗"))</f>
        <v/>
      </c>
    </row>
    <row r="28">
      <c r="A28" t="inlineStr">
        <is>
          <t>total</t>
        </is>
      </c>
      <c r="B28" t="inlineStr">
        <is>
          <t>الرصيد كما في 31 ديسمبر 2024م</t>
        </is>
      </c>
      <c r="C28" t="inlineStr"/>
      <c r="D28" t="n">
        <v>900000000</v>
      </c>
      <c r="E28" t="inlineStr">
        <is>
          <t>-</t>
        </is>
      </c>
      <c r="F28" t="n">
        <v>478658307</v>
      </c>
      <c r="G28" t="n">
        <v>2843826</v>
      </c>
      <c r="H28" t="n">
        <v>-8802768</v>
      </c>
      <c r="I28" t="n">
        <v>-17362</v>
      </c>
      <c r="J28" t="n">
        <v>1372682003</v>
      </c>
      <c r="K28" t="n">
        <v>41854148</v>
      </c>
      <c r="L28" t="n">
        <v>1414536151</v>
      </c>
      <c r="R28" t="inlineStr">
        <is>
          <t>22,25,26,27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11,12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(معدّلة إيضاح 37)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قبل الزكاة والضريبة الأجنبية</t>
        </is>
      </c>
      <c r="C11" t="inlineStr"/>
      <c r="D11" t="n">
        <v>515697507</v>
      </c>
      <c r="E11" t="n">
        <v>505358054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تسويات لـ: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عقارات وآلات ومعدات وأصول حق الاستخدام</t>
        </is>
      </c>
      <c r="C13" t="inlineStr"/>
      <c r="D13" t="n">
        <v>405081605</v>
      </c>
      <c r="E13" t="n">
        <v>368872845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عقارات استثمارية</t>
        </is>
      </c>
      <c r="C14" t="inlineStr"/>
      <c r="D14" t="n">
        <v>5729279</v>
      </c>
      <c r="E14" t="n">
        <v>8579921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إطفاء أصول غير ملموسة</t>
        </is>
      </c>
      <c r="C15" t="inlineStr"/>
      <c r="D15" t="n">
        <v>536531</v>
      </c>
      <c r="E15" t="n">
        <v>633036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(مكاسب) خسائر بيع عقارات وآلات ومعدات</t>
        </is>
      </c>
      <c r="C16" t="inlineStr"/>
      <c r="D16" t="n">
        <v>-671306</v>
      </c>
      <c r="E16" t="n">
        <v>3411009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عكس خسائر هبوط في عقارات وآلات ومعدات</t>
        </is>
      </c>
      <c r="C17" t="inlineStr"/>
      <c r="D17" t="inlineStr">
        <is>
          <t>-</t>
        </is>
      </c>
      <c r="E17" t="n">
        <v>-4068057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(مكاسب) خسائر تصفية التزامات عقود ايجار</t>
        </is>
      </c>
      <c r="C18" t="inlineStr"/>
      <c r="D18" t="n">
        <v>-6022245</v>
      </c>
      <c r="E18" t="n">
        <v>1018632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مكاسب بيع عقارات استثمارية</t>
        </is>
      </c>
      <c r="C19" t="inlineStr"/>
      <c r="D19" t="inlineStr">
        <is>
          <t>-</t>
        </is>
      </c>
      <c r="E19" t="n">
        <v>-99475744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تكاليف تمويل</t>
        </is>
      </c>
      <c r="C20" t="inlineStr"/>
      <c r="D20" t="n">
        <v>160332710</v>
      </c>
      <c r="E20" t="n">
        <v>113259796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إيرادات تمويلية وودائع وأخرى</t>
        </is>
      </c>
      <c r="C21" t="inlineStr"/>
      <c r="D21" t="n">
        <v>-11559690</v>
      </c>
      <c r="E21" t="n">
        <v>-23707843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الحصة في الخسارة للشركات الزميلة والمشروع المشترك، صافي</t>
        </is>
      </c>
      <c r="C22" t="inlineStr"/>
      <c r="D22" t="n">
        <v>-198386036</v>
      </c>
      <c r="E22" t="n">
        <v>-32334627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مخصص (عكس قيد مخصص) تقلص المخزون والمخزون بطيء الحركة</t>
        </is>
      </c>
      <c r="C23" t="inlineStr"/>
      <c r="D23" t="n">
        <v>557935</v>
      </c>
      <c r="E23" t="n">
        <v>-5198587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مخصص (عكس قيد مخصص) خسائر ائتمانية متوقعة</t>
        </is>
      </c>
      <c r="C24" t="inlineStr"/>
      <c r="D24" t="n">
        <v>698974</v>
      </c>
      <c r="E24" t="n">
        <v>-227264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مخصص قضايا وأخرى</t>
        </is>
      </c>
      <c r="C25" t="inlineStr"/>
      <c r="D25" t="n">
        <v>925200</v>
      </c>
      <c r="E25" t="n">
        <v>-1612354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التزام مكافآت نهاية الخدمة للموظفين</t>
        </is>
      </c>
      <c r="C26" t="inlineStr"/>
      <c r="D26" t="n">
        <v>43464486</v>
      </c>
      <c r="E26" t="n">
        <v>42628399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subtotal</t>
        </is>
      </c>
      <c r="B27" t="inlineStr"/>
      <c r="C27" t="inlineStr"/>
      <c r="D27" t="n">
        <v>916384950</v>
      </c>
      <c r="E27" t="n">
        <v>877137216</v>
      </c>
      <c r="R27" t="inlineStr">
        <is>
          <t>11,13,14,15,16,17,18,19,20,21,22,23,24,25,26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التغيرات في: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المخزون</t>
        </is>
      </c>
      <c r="C29" t="inlineStr"/>
      <c r="D29" t="n">
        <v>-137204573</v>
      </c>
      <c r="E29" t="n">
        <v>-142925408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ذمم مدينة تجارية</t>
        </is>
      </c>
      <c r="C30" t="inlineStr"/>
      <c r="D30" t="n">
        <v>-14380857</v>
      </c>
      <c r="E30" t="n">
        <v>-7994125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دفعات مقدمة واصول متداولة أخرى</t>
        </is>
      </c>
      <c r="C31" t="inlineStr"/>
      <c r="D31" t="n">
        <v>-34308199</v>
      </c>
      <c r="E31" t="n">
        <v>-5386604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ذمم دائنة</t>
        </is>
      </c>
      <c r="C32" t="inlineStr"/>
      <c r="D32" t="n">
        <v>181022574</v>
      </c>
      <c r="E32" t="n">
        <v>-11328992</v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مصاريف مستحقة والتزامات متداولة أخرى</t>
        </is>
      </c>
      <c r="C33" t="inlineStr"/>
      <c r="D33" t="n">
        <v>46481149</v>
      </c>
      <c r="E33" t="n">
        <v>15143884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subtotal</t>
        </is>
      </c>
      <c r="B34" t="inlineStr"/>
      <c r="C34" t="inlineStr"/>
      <c r="D34" t="n">
        <v>957995044</v>
      </c>
      <c r="E34" t="n">
        <v>724645971</v>
      </c>
      <c r="R34" t="inlineStr">
        <is>
          <t>27,29,30,31,32,33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مكافأة نهاية الخدمة المدفوعة للموظفين</t>
        </is>
      </c>
      <c r="C35" t="inlineStr"/>
      <c r="D35" t="n">
        <v>-30945979</v>
      </c>
      <c r="E35" t="n">
        <v>-30329650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زكاة وضريبة اجنبية مدفوعة</t>
        </is>
      </c>
      <c r="C36" t="inlineStr"/>
      <c r="D36" t="n">
        <v>-16779614</v>
      </c>
      <c r="E36" t="n">
        <v>-13223442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total</t>
        </is>
      </c>
      <c r="B37" t="inlineStr">
        <is>
          <t>صافي التدفقات النقدية الناتجة من الانشطة التشغيلية</t>
        </is>
      </c>
      <c r="C37" t="inlineStr"/>
      <c r="D37" t="n">
        <v>910269451</v>
      </c>
      <c r="E37" t="n">
        <v>681092879</v>
      </c>
      <c r="R37" t="inlineStr">
        <is>
          <t>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section</t>
        </is>
      </c>
      <c r="B38" t="inlineStr">
        <is>
          <t>التدفقات النقدية المستخدمة في الأنشطة الاستثمارية</t>
        </is>
      </c>
      <c r="C38" t="inlineStr"/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المتحصل من بيع عقارات وآلات ومعدات</t>
        </is>
      </c>
      <c r="C39" t="inlineStr"/>
      <c r="D39" t="n">
        <v>3284744</v>
      </c>
      <c r="E39" t="n">
        <v>2788122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المتحصل من بيع عقارات استثمارية</t>
        </is>
      </c>
      <c r="C40" t="inlineStr"/>
      <c r="D40" t="inlineStr">
        <is>
          <t>-</t>
        </is>
      </c>
      <c r="E40" t="n">
        <v>186568704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توزيعات من شركات زميلة ومشروع مشترك</t>
        </is>
      </c>
      <c r="C41" t="inlineStr"/>
      <c r="D41" t="n">
        <v>90000000</v>
      </c>
      <c r="E41" t="inlineStr">
        <is>
          <t>-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دفعات ايجار تمويلي مستلمة</t>
        </is>
      </c>
      <c r="C42" t="inlineStr"/>
      <c r="D42" t="n">
        <v>36682000</v>
      </c>
      <c r="E42" t="n">
        <v>34932000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ايرادات ودائع وأخرى مستلمة</t>
        </is>
      </c>
      <c r="C43" t="inlineStr"/>
      <c r="D43" t="n">
        <v>8107532</v>
      </c>
      <c r="E43" t="n">
        <v>17484132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إضافات الى عقارات وآلات ومعدات</t>
        </is>
      </c>
      <c r="C44" t="inlineStr"/>
      <c r="D44" t="n">
        <v>-590778768</v>
      </c>
      <c r="E44" t="n">
        <v>-384970590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إضافات الى عقارات استثمارية</t>
        </is>
      </c>
      <c r="C45" t="inlineStr"/>
      <c r="D45" t="n">
        <v>-49721222</v>
      </c>
      <c r="E45" t="n">
        <v>-224244145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إضافات الى أصول غير ملموسة</t>
        </is>
      </c>
      <c r="C46" t="inlineStr"/>
      <c r="D46" t="n">
        <v>-1498493</v>
      </c>
      <c r="E46" t="n">
        <v>-1369079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استثمارات وودائع مرابحة قصيرة الاجل</t>
        </is>
      </c>
      <c r="C47" t="inlineStr"/>
      <c r="D47" t="n">
        <v>-279488723</v>
      </c>
      <c r="E47" t="n">
        <v>-691537500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المسترد من استثمارات وودائع مرابحة قصيرة الأجل</t>
        </is>
      </c>
      <c r="C48" t="inlineStr"/>
      <c r="D48" t="n">
        <v>294000000</v>
      </c>
      <c r="E48" t="n">
        <v>1031537500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total</t>
        </is>
      </c>
      <c r="B49" t="inlineStr">
        <is>
          <t>صافي التدفقات النقدية المستخدمة في الأنشطة الاستثمارية</t>
        </is>
      </c>
      <c r="C49" t="inlineStr"/>
      <c r="D49" t="n">
        <v>-489412930</v>
      </c>
      <c r="E49" t="n">
        <v>-28810856</v>
      </c>
      <c r="R49" t="inlineStr">
        <is>
          <t>39,40,41,42,43,44,45,46,47,48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section</t>
        </is>
      </c>
      <c r="B50" t="inlineStr">
        <is>
          <t>التدفقات النقدية المستخدمة في الأنشطة التمويلية</t>
        </is>
      </c>
      <c r="C50" t="inlineStr"/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المتحصل من قروض قصيرة الاجل ومرابحات</t>
        </is>
      </c>
      <c r="C51" t="inlineStr"/>
      <c r="D51" t="n">
        <v>2615000000</v>
      </c>
      <c r="E51" t="n">
        <v>405000000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item</t>
        </is>
      </c>
      <c r="B52" t="inlineStr">
        <is>
          <t>المسدد من قروض قصيرة الاجل ومرابحات</t>
        </is>
      </c>
      <c r="C52" t="inlineStr"/>
      <c r="D52" t="n">
        <v>-2300000000</v>
      </c>
      <c r="E52" t="n">
        <v>-405000000</v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التزامات عقود الايجار، صافي</t>
        </is>
      </c>
      <c r="C53" t="inlineStr"/>
      <c r="D53" t="n">
        <v>-273388868</v>
      </c>
      <c r="E53" t="n">
        <v>-262645217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تكاليف التمويل المدفوعة</t>
        </is>
      </c>
      <c r="C54" t="inlineStr"/>
      <c r="D54" t="n">
        <v>-14691444</v>
      </c>
      <c r="E54" t="n">
        <v>-1387571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توزيعات أرباح مدفوعة - مساهمي الشركة الأم</t>
        </is>
      </c>
      <c r="C55" t="inlineStr"/>
      <c r="D55" t="n">
        <v>-540000000</v>
      </c>
      <c r="E55" t="n">
        <v>-517500000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توزيعات أرباح مدفوعة – حقوق الملكية غير المسيطرة</t>
        </is>
      </c>
      <c r="C56" t="inlineStr"/>
      <c r="D56" t="n">
        <v>-4804800</v>
      </c>
      <c r="E56" t="n">
        <v>-2562560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total</t>
        </is>
      </c>
      <c r="B57" t="inlineStr">
        <is>
          <t>صافي التدفقات النقدية المستخدمة في الأنشطة التمويلية</t>
        </is>
      </c>
      <c r="C57" t="inlineStr"/>
      <c r="D57" t="n">
        <v>-517885112</v>
      </c>
      <c r="E57" t="n">
        <v>-784095348</v>
      </c>
      <c r="R57" t="inlineStr">
        <is>
          <t>51,52,53,54,55,56</t>
        </is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total</t>
        </is>
      </c>
      <c r="B58" t="inlineStr">
        <is>
          <t>صافي التغير في النقد وما في حكمه</t>
        </is>
      </c>
      <c r="C58" t="inlineStr"/>
      <c r="D58" t="n">
        <v>-97028591</v>
      </c>
      <c r="E58" t="n">
        <v>-131813325</v>
      </c>
      <c r="R58" t="inlineStr">
        <is>
          <t>37,49,57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item</t>
        </is>
      </c>
      <c r="B59" t="inlineStr">
        <is>
          <t>النقد وما في حكمه في بداية السنة</t>
        </is>
      </c>
      <c r="C59" t="inlineStr"/>
      <c r="D59" t="n">
        <v>181775625</v>
      </c>
      <c r="E59" t="n">
        <v>313074107</v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item</t>
        </is>
      </c>
      <c r="B60" t="inlineStr">
        <is>
          <t>صافي فروقات ترجمة عملات أجنبية</t>
        </is>
      </c>
      <c r="C60" t="inlineStr"/>
      <c r="D60" t="n">
        <v>2792072</v>
      </c>
      <c r="E60" t="n">
        <v>514843</v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total</t>
        </is>
      </c>
      <c r="B61" t="inlineStr">
        <is>
          <t>النقد وما في حكمه في نهاية السنة</t>
        </is>
      </c>
      <c r="C61" t="inlineStr"/>
      <c r="D61" t="n">
        <v>87539106</v>
      </c>
      <c r="E61" t="n">
        <v>181775625</v>
      </c>
      <c r="R61" t="inlineStr">
        <is>
          <t>58,59,60</t>
        </is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المعاملات غير النقدية الهامة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 (معدّلة إيضاح 37)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إضافات أصول حق الاستخدام مقابل التزامات عقود ايجار (إيضاح 6)</t>
        </is>
      </c>
      <c r="C10" t="inlineStr"/>
      <c r="D10" t="n">
        <v>619206462</v>
      </c>
      <c r="E10" t="n">
        <v>537098701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المحول من عقارات استثمارية الى عقارات وآلات ومعدات</t>
        </is>
      </c>
      <c r="C11" t="inlineStr"/>
      <c r="D11" t="inlineStr">
        <is>
          <t>-</t>
        </is>
      </c>
      <c r="E11" t="n">
        <v>660746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المحول من عقارات وآلات ومعدات الى عقارات استثمارية</t>
        </is>
      </c>
      <c r="C12" t="inlineStr"/>
      <c r="D12" t="n">
        <v>1902117</v>
      </c>
      <c r="E12" t="n">
        <v>222709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المحول من عقارات وآلات ومعدات الى أصول غير ملموسة</t>
        </is>
      </c>
      <c r="C13" t="inlineStr"/>
      <c r="D13" t="n">
        <v>2080034</v>
      </c>
      <c r="E13" t="inlineStr">
        <is>
          <t>-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محول من أصول محتفظ بها للبيع الى عقارات وآلات ومعدات</t>
        </is>
      </c>
      <c r="C14" t="inlineStr"/>
      <c r="D14" t="n">
        <v>1011367</v>
      </c>
      <c r="E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