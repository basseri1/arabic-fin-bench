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income" sheetId="3" state="visible" r:id="rId3"/>
    <sheet xmlns:r="http://schemas.openxmlformats.org/officeDocument/2006/relationships" name="2_comprehensive_income" sheetId="4" state="visible" r:id="rId4"/>
    <sheet xmlns:r="http://schemas.openxmlformats.org/officeDocument/2006/relationships" name="3_financial_position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aramco_FY2023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Saudi Aramco (FY2023)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https://www.saudiexchange.sa/Resources/fsPdf/1541_0_2024-03-11_10-08-23_Ar.pdf</t>
        </is>
      </c>
      <c r="C4" t="inlineStr"/>
    </row>
    <row r="5">
      <c r="A5" t="inlineStr">
        <is>
          <t>sha256</t>
        </is>
      </c>
      <c r="B5" t="inlineStr">
        <is>
          <t>905027d71a07f28e63119f316fa078b33c8509b51190f9e5895e0e35629969e6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2023-12-31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western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 الموحدة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2023 (ريال)</t>
        </is>
      </c>
      <c r="E7" s="5" t="inlineStr">
        <is>
          <t>2022 (ريال)</t>
        </is>
      </c>
      <c r="F7" s="5" t="inlineStr">
        <is>
          <t>2023 (دولار)</t>
        </is>
      </c>
      <c r="G7" s="5" t="inlineStr">
        <is>
          <t>2022 (دولار)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>
        <is>
          <t>2023-12-31</t>
        </is>
      </c>
      <c r="G8" s="4" t="inlineStr">
        <is>
          <t>2022-12-31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>
        <is>
          <t>USD</t>
        </is>
      </c>
      <c r="G9" s="4" t="inlineStr">
        <is>
          <t>USD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إيرادات</t>
        </is>
      </c>
      <c r="C10" t="inlineStr">
        <is>
          <t>24</t>
        </is>
      </c>
      <c r="D10" t="n">
        <v>1653281</v>
      </c>
      <c r="E10" t="n">
        <v>2006955</v>
      </c>
      <c r="F10" t="n">
        <v>440875</v>
      </c>
      <c r="G10" t="n">
        <v>535188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item</t>
        </is>
      </c>
      <c r="B11" t="inlineStr">
        <is>
          <t>دخل آخر متعلق بالمبيعات</t>
        </is>
      </c>
      <c r="C11" t="inlineStr"/>
      <c r="D11" t="n">
        <v>203092</v>
      </c>
      <c r="E11" t="n">
        <v>259418</v>
      </c>
      <c r="F11" t="n">
        <v>54158</v>
      </c>
      <c r="G11" t="n">
        <v>69178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subtotal</t>
        </is>
      </c>
      <c r="B12" t="inlineStr">
        <is>
          <t>الإيرادات والدخل الآخر المتعلق بالمبيعات</t>
        </is>
      </c>
      <c r="C12" t="inlineStr"/>
      <c r="D12" t="n">
        <v>1856373</v>
      </c>
      <c r="E12" t="n">
        <v>2266373</v>
      </c>
      <c r="F12" t="n">
        <v>495033</v>
      </c>
      <c r="G12" t="n">
        <v>604366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ريع وضرائب أخرى</t>
        </is>
      </c>
      <c r="C13" t="inlineStr"/>
      <c r="D13" t="n">
        <v>-231795</v>
      </c>
      <c r="E13" t="n">
        <v>-341510</v>
      </c>
      <c r="F13" t="n">
        <v>-61812</v>
      </c>
      <c r="G13" t="n">
        <v>-91069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مشتريات</t>
        </is>
      </c>
      <c r="C14" t="inlineStr">
        <is>
          <t>25</t>
        </is>
      </c>
      <c r="D14" t="n">
        <v>-471225</v>
      </c>
      <c r="E14" t="n">
        <v>-490690</v>
      </c>
      <c r="F14" t="n">
        <v>-125660</v>
      </c>
      <c r="G14" t="n">
        <v>-130851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إنتاج وتصنيع</t>
        </is>
      </c>
      <c r="C15" t="inlineStr"/>
      <c r="D15" t="n">
        <v>-96523</v>
      </c>
      <c r="E15" t="n">
        <v>-101912</v>
      </c>
      <c r="F15" t="n">
        <v>-25739</v>
      </c>
      <c r="G15" t="n">
        <v>-27177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item</t>
        </is>
      </c>
      <c r="B16" t="inlineStr">
        <is>
          <t>بيع وإدارية وعمومية</t>
        </is>
      </c>
      <c r="C16" t="inlineStr"/>
      <c r="D16" t="n">
        <v>-76890</v>
      </c>
      <c r="E16" t="n">
        <v>-83700</v>
      </c>
      <c r="F16" t="n">
        <v>-20504</v>
      </c>
      <c r="G16" t="n">
        <v>-22320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تنقيب</t>
        </is>
      </c>
      <c r="C17" t="inlineStr"/>
      <c r="D17" t="n">
        <v>-9416</v>
      </c>
      <c r="E17" t="n">
        <v>-8447</v>
      </c>
      <c r="F17" t="n">
        <v>-2511</v>
      </c>
      <c r="G17" t="n">
        <v>-2253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بحث وتطوير</t>
        </is>
      </c>
      <c r="C18" t="inlineStr"/>
      <c r="D18" t="n">
        <v>-5197</v>
      </c>
      <c r="E18" t="n">
        <v>-4419</v>
      </c>
      <c r="F18" t="n">
        <v>-1386</v>
      </c>
      <c r="G18" t="n">
        <v>-1178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item</t>
        </is>
      </c>
      <c r="B19" t="inlineStr">
        <is>
          <t>استهلاك وإطفاء</t>
        </is>
      </c>
      <c r="C19" t="inlineStr">
        <is>
          <t>5، 6</t>
        </is>
      </c>
      <c r="D19" t="n">
        <v>-97040</v>
      </c>
      <c r="E19" t="n">
        <v>-91618</v>
      </c>
      <c r="F19" t="n">
        <v>-25877</v>
      </c>
      <c r="G19" t="n">
        <v>-24431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subtotal</t>
        </is>
      </c>
      <c r="B20" t="inlineStr">
        <is>
          <t>تكاليف التشغيل</t>
        </is>
      </c>
      <c r="C20" t="inlineStr"/>
      <c r="D20" t="n">
        <v>-988086</v>
      </c>
      <c r="E20" t="n">
        <v>-1122296</v>
      </c>
      <c r="F20" t="n">
        <v>-263489</v>
      </c>
      <c r="G20" t="n">
        <v>-299279</v>
      </c>
      <c r="R20" t="inlineStr">
        <is>
          <t>13,14,15,16,17,18,19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subtotal</t>
        </is>
      </c>
      <c r="B21" t="inlineStr">
        <is>
          <t>دخل التشغيل</t>
        </is>
      </c>
      <c r="C21" t="inlineStr"/>
      <c r="D21" t="n">
        <v>868287</v>
      </c>
      <c r="E21" t="n">
        <v>1144077</v>
      </c>
      <c r="F21" t="n">
        <v>231544</v>
      </c>
      <c r="G21" t="n">
        <v>305087</v>
      </c>
      <c r="R21" t="inlineStr">
        <is>
          <t>12,20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item</t>
        </is>
      </c>
      <c r="B22" t="inlineStr">
        <is>
          <t>حصة في نتائج مشاريع مشتركة وشركات زميلة</t>
        </is>
      </c>
      <c r="C22" t="inlineStr">
        <is>
          <t>7</t>
        </is>
      </c>
      <c r="D22" t="n">
        <v>-4001</v>
      </c>
      <c r="E22" t="n">
        <v>2873</v>
      </c>
      <c r="F22" t="n">
        <v>-1067</v>
      </c>
      <c r="G22" t="n">
        <v>766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item</t>
        </is>
      </c>
      <c r="B23" t="inlineStr">
        <is>
          <t>دخل تمويل ودخل آخر</t>
        </is>
      </c>
      <c r="C23" t="inlineStr">
        <is>
          <t>27</t>
        </is>
      </c>
      <c r="D23" t="n">
        <v>31967</v>
      </c>
      <c r="E23" t="n">
        <v>14894</v>
      </c>
      <c r="F23" t="n">
        <v>8524</v>
      </c>
      <c r="G23" t="n">
        <v>3972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item</t>
        </is>
      </c>
      <c r="B24" t="inlineStr">
        <is>
          <t>تكاليف تمويل</t>
        </is>
      </c>
      <c r="C24" t="inlineStr">
        <is>
          <t>20</t>
        </is>
      </c>
      <c r="D24" t="n">
        <v>-8186</v>
      </c>
      <c r="E24" t="n">
        <v>-8882</v>
      </c>
      <c r="F24" t="n">
        <v>-2183</v>
      </c>
      <c r="G24" t="n">
        <v>-2369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subtotal</t>
        </is>
      </c>
      <c r="B25" t="inlineStr">
        <is>
          <t>الدخل قبل ضرائب الدخل والزكاة</t>
        </is>
      </c>
      <c r="C25" t="inlineStr"/>
      <c r="D25" t="n">
        <v>888067</v>
      </c>
      <c r="E25" t="n">
        <v>1152962</v>
      </c>
      <c r="F25" t="n">
        <v>236818</v>
      </c>
      <c r="G25" t="n">
        <v>307456</v>
      </c>
      <c r="R25" t="inlineStr">
        <is>
          <t>21,22,23,24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item</t>
        </is>
      </c>
      <c r="B26" t="inlineStr">
        <is>
          <t>ضرائب الدخل والزكاة</t>
        </is>
      </c>
      <c r="C26" t="inlineStr">
        <is>
          <t>8</t>
        </is>
      </c>
      <c r="D26" t="n">
        <v>-433303</v>
      </c>
      <c r="E26" t="n">
        <v>-548957</v>
      </c>
      <c r="F26" t="n">
        <v>-115547</v>
      </c>
      <c r="G26" t="n">
        <v>-146388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A27" t="inlineStr">
        <is>
          <t>total</t>
        </is>
      </c>
      <c r="B27" t="inlineStr">
        <is>
          <t>صافي الدخل</t>
        </is>
      </c>
      <c r="C27" t="inlineStr"/>
      <c r="D27" t="n">
        <v>454764</v>
      </c>
      <c r="E27" t="n">
        <v>604005</v>
      </c>
      <c r="F27" t="n">
        <v>121271</v>
      </c>
      <c r="G27" t="n">
        <v>161068</v>
      </c>
      <c r="R27" t="inlineStr">
        <is>
          <t>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A28" t="inlineStr">
        <is>
          <t>section</t>
        </is>
      </c>
      <c r="B28" t="inlineStr">
        <is>
          <t>صافي الدخل العائد إلى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A29" t="inlineStr">
        <is>
          <t>item</t>
        </is>
      </c>
      <c r="B29" t="inlineStr">
        <is>
          <t>حقوق المساهمين</t>
        </is>
      </c>
      <c r="C29" t="inlineStr"/>
      <c r="D29" t="n">
        <v>452753</v>
      </c>
      <c r="E29" t="n">
        <v>597215</v>
      </c>
      <c r="F29" t="n">
        <v>120734</v>
      </c>
      <c r="G29" t="n">
        <v>159257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A30" t="inlineStr">
        <is>
          <t>item</t>
        </is>
      </c>
      <c r="B30" t="inlineStr">
        <is>
          <t>الحصص غير المسيطرة</t>
        </is>
      </c>
      <c r="C30" t="inlineStr"/>
      <c r="D30" t="n">
        <v>2011</v>
      </c>
      <c r="E30" t="n">
        <v>6790</v>
      </c>
      <c r="F30" t="n">
        <v>537</v>
      </c>
      <c r="G30" t="n">
        <v>1811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A31" t="inlineStr">
        <is>
          <t>total</t>
        </is>
      </c>
      <c r="B31" t="inlineStr"/>
      <c r="C31" t="inlineStr"/>
      <c r="D31" t="n">
        <v>454764</v>
      </c>
      <c r="E31" t="n">
        <v>604005</v>
      </c>
      <c r="F31" t="n">
        <v>121271</v>
      </c>
      <c r="G31" t="n">
        <v>161068</v>
      </c>
      <c r="R31" t="inlineStr">
        <is>
          <t>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A32" t="inlineStr">
        <is>
          <t>item</t>
        </is>
      </c>
      <c r="B32" t="inlineStr">
        <is>
          <t>ربحية السهم (الأساسية والمخفضة)</t>
        </is>
      </c>
      <c r="C32" t="inlineStr">
        <is>
          <t>37</t>
        </is>
      </c>
      <c r="D32" t="n">
        <v>1.87</v>
      </c>
      <c r="E32" t="n">
        <v>2.47</v>
      </c>
      <c r="F32" t="n">
        <v>0.5</v>
      </c>
      <c r="G32" t="n">
        <v>0.66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  <c r="T32" t="inlineStr">
        <is>
          <t>per share, in riyals / dollars (not millions)</t>
        </is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2023 (ريال)</t>
        </is>
      </c>
      <c r="E7" s="5" t="inlineStr">
        <is>
          <t>2022 (ريال)</t>
        </is>
      </c>
      <c r="F7" s="5" t="inlineStr">
        <is>
          <t>2023 (دولار)</t>
        </is>
      </c>
      <c r="G7" s="5" t="inlineStr">
        <is>
          <t>2022 (دولار)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>
        <is>
          <t>2023-12-31</t>
        </is>
      </c>
      <c r="G8" s="4" t="inlineStr">
        <is>
          <t>2022-12-31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>
        <is>
          <t>USD</t>
        </is>
      </c>
      <c r="G9" s="4" t="inlineStr">
        <is>
          <t>USD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الدخل</t>
        </is>
      </c>
      <c r="C10" t="inlineStr"/>
      <c r="D10" t="n">
        <v>454764</v>
      </c>
      <c r="E10" t="n">
        <v>604005</v>
      </c>
      <c r="F10" t="n">
        <v>121271</v>
      </c>
      <c r="G10" t="n">
        <v>161068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section</t>
        </is>
      </c>
      <c r="B11" t="inlineStr">
        <is>
          <t>الدخل (الخسارة) الشامل الآخر، بعد خصم الضريبة</t>
        </is>
      </c>
      <c r="C11" t="inlineStr">
        <is>
          <t>18</t>
        </is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section</t>
        </is>
      </c>
      <c r="B12" t="inlineStr">
        <is>
          <t>بنود لن يعاد تصنيفها إلى صافي الدخل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إعادة قياس منافع ما بعد انتهاء التوظيف</t>
        </is>
      </c>
      <c r="C13" t="inlineStr"/>
      <c r="D13" t="n">
        <v>-25</v>
      </c>
      <c r="E13" t="n">
        <v>21208</v>
      </c>
      <c r="F13" t="n">
        <v>-7</v>
      </c>
      <c r="G13" t="n">
        <v>5655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حصة في إعادة قياس منافع ما بعد انتهاء التوظيف من مشاريع مشتركة وشركات زميلة</t>
        </is>
      </c>
      <c r="C14" t="inlineStr"/>
      <c r="D14" t="n">
        <v>90</v>
      </c>
      <c r="E14" t="n">
        <v>144</v>
      </c>
      <c r="F14" t="n">
        <v>24</v>
      </c>
      <c r="G14" t="n">
        <v>38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تغيرات في القيمة العادلة لاستثمارات في حقوق ملكية مصنفة بالقيمة العادلة من خلال الدخل الشامل الآخر</t>
        </is>
      </c>
      <c r="C15" t="inlineStr"/>
      <c r="D15" t="n">
        <v>-1671</v>
      </c>
      <c r="E15" t="n">
        <v>-211</v>
      </c>
      <c r="F15" t="n">
        <v>-446</v>
      </c>
      <c r="G15" t="n">
        <v>-56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section</t>
        </is>
      </c>
      <c r="B16" t="inlineStr">
        <is>
          <t>بنود يمكن إعادة تصنيفها لاحقًا إلى صافي الدخل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تحوطات تدفقات نقدية وأخرى</t>
        </is>
      </c>
      <c r="C17" t="inlineStr"/>
      <c r="D17" t="n">
        <v>-1044</v>
      </c>
      <c r="E17" t="n">
        <v>1450</v>
      </c>
      <c r="F17" t="n">
        <v>-278</v>
      </c>
      <c r="G17" t="n">
        <v>387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تغيرات في القيمة العادلة لسندات دين مصنفة بالقيمة العادلة من خلال الدخل الشامل الآخر</t>
        </is>
      </c>
      <c r="C18" t="inlineStr"/>
      <c r="D18" t="n">
        <v>520</v>
      </c>
      <c r="E18" t="n">
        <v>-427</v>
      </c>
      <c r="F18" t="n">
        <v>139</v>
      </c>
      <c r="G18" t="n">
        <v>-114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item</t>
        </is>
      </c>
      <c r="B19" t="inlineStr">
        <is>
          <t>حصة في دخل شامل آخر لمشاريع مشتركة وشركات زميلة</t>
        </is>
      </c>
      <c r="C19" t="inlineStr"/>
      <c r="D19" t="n">
        <v>1250</v>
      </c>
      <c r="E19" t="n">
        <v>351</v>
      </c>
      <c r="F19" t="n">
        <v>333</v>
      </c>
      <c r="G19" t="n">
        <v>94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item</t>
        </is>
      </c>
      <c r="B20" t="inlineStr">
        <is>
          <t>فروقات تحويل عملات</t>
        </is>
      </c>
      <c r="C20" t="inlineStr"/>
      <c r="D20" t="n">
        <v>-829</v>
      </c>
      <c r="E20" t="n">
        <v>-3889</v>
      </c>
      <c r="F20" t="n">
        <v>-221</v>
      </c>
      <c r="G20" t="n">
        <v>-1037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subtotal</t>
        </is>
      </c>
      <c r="B21" t="inlineStr"/>
      <c r="C21" t="inlineStr"/>
      <c r="D21" t="n">
        <v>-1709</v>
      </c>
      <c r="E21" t="n">
        <v>18626</v>
      </c>
      <c r="F21" t="n">
        <v>-456</v>
      </c>
      <c r="G21" t="n">
        <v>4967</v>
      </c>
      <c r="R21" t="inlineStr">
        <is>
          <t>13,14,15,16,17,18,19,20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total</t>
        </is>
      </c>
      <c r="B22" t="inlineStr">
        <is>
          <t>مجموع الدخل الشامل</t>
        </is>
      </c>
      <c r="C22" t="inlineStr"/>
      <c r="D22" t="n">
        <v>453055</v>
      </c>
      <c r="E22" t="n">
        <v>622631</v>
      </c>
      <c r="F22" t="n">
        <v>120815</v>
      </c>
      <c r="G22" t="n">
        <v>166035</v>
      </c>
      <c r="R22" t="inlineStr">
        <is>
          <t>10,21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section</t>
        </is>
      </c>
      <c r="B23" t="inlineStr">
        <is>
          <t>مجموع الدخل الشامل العائد إلى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item</t>
        </is>
      </c>
      <c r="B24" t="inlineStr">
        <is>
          <t>حقوق المساهمين</t>
        </is>
      </c>
      <c r="C24" t="inlineStr"/>
      <c r="D24" t="n">
        <v>451111</v>
      </c>
      <c r="E24" t="n">
        <v>615245</v>
      </c>
      <c r="F24" t="n">
        <v>120296</v>
      </c>
      <c r="G24" t="n">
        <v>164065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item</t>
        </is>
      </c>
      <c r="B25" t="inlineStr">
        <is>
          <t>الحصص غير المسيطرة</t>
        </is>
      </c>
      <c r="C25" t="inlineStr"/>
      <c r="D25" t="n">
        <v>1944</v>
      </c>
      <c r="E25" t="n">
        <v>7386</v>
      </c>
      <c r="F25" t="n">
        <v>519</v>
      </c>
      <c r="G25" t="n">
        <v>1970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total</t>
        </is>
      </c>
      <c r="B26" t="inlineStr"/>
      <c r="C26" t="inlineStr"/>
      <c r="D26" t="n">
        <v>453055</v>
      </c>
      <c r="E26" t="n">
        <v>622631</v>
      </c>
      <c r="F26" t="n">
        <v>120815</v>
      </c>
      <c r="G26" t="n">
        <v>166035</v>
      </c>
      <c r="R26" t="inlineStr">
        <is>
          <t>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14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في 31 ديسمبر 2023 (ريال)</t>
        </is>
      </c>
      <c r="E7" s="5" t="inlineStr">
        <is>
          <t>في 31 ديسمبر 2022 (ريال)</t>
        </is>
      </c>
      <c r="F7" s="5" t="inlineStr">
        <is>
          <t>2023 (دولار)</t>
        </is>
      </c>
      <c r="G7" s="5" t="inlineStr">
        <is>
          <t>2022 (دولار)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>
        <is>
          <t>2023-12-31</t>
        </is>
      </c>
      <c r="G8" s="4" t="inlineStr">
        <is>
          <t>2022-12-31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>
        <is>
          <t>USD</t>
        </is>
      </c>
      <c r="G9" s="4" t="inlineStr">
        <is>
          <t>USD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item</t>
        </is>
      </c>
      <c r="B12" t="inlineStr">
        <is>
          <t>ممتلكات وآلات ومعدات</t>
        </is>
      </c>
      <c r="C12" t="inlineStr">
        <is>
          <t>5</t>
        </is>
      </c>
      <c r="D12" t="n">
        <v>1384717</v>
      </c>
      <c r="E12" t="n">
        <v>1303266</v>
      </c>
      <c r="F12" t="n">
        <v>369258</v>
      </c>
      <c r="G12" t="n">
        <v>347538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موجودات غير ملموسة</t>
        </is>
      </c>
      <c r="C13" t="inlineStr">
        <is>
          <t>6</t>
        </is>
      </c>
      <c r="D13" t="n">
        <v>164554</v>
      </c>
      <c r="E13" t="n">
        <v>159328</v>
      </c>
      <c r="F13" t="n">
        <v>43881</v>
      </c>
      <c r="G13" t="n">
        <v>42487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استثمارات في مشاريع مشتركة وشركات زميلة</t>
        </is>
      </c>
      <c r="C14" t="inlineStr">
        <is>
          <t>7</t>
        </is>
      </c>
      <c r="D14" t="n">
        <v>69474</v>
      </c>
      <c r="E14" t="n">
        <v>72196</v>
      </c>
      <c r="F14" t="n">
        <v>18526</v>
      </c>
      <c r="G14" t="n">
        <v>19252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موجودات ضريبة دخل مؤجلة</t>
        </is>
      </c>
      <c r="C15" t="inlineStr">
        <is>
          <t>8</t>
        </is>
      </c>
      <c r="D15" t="n">
        <v>20560</v>
      </c>
      <c r="E15" t="n">
        <v>18093</v>
      </c>
      <c r="F15" t="n">
        <v>5483</v>
      </c>
      <c r="G15" t="n">
        <v>4825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item</t>
        </is>
      </c>
      <c r="B16" t="inlineStr">
        <is>
          <t>منافع ما بعد انتهاء التوظيف</t>
        </is>
      </c>
      <c r="C16" t="inlineStr">
        <is>
          <t>21</t>
        </is>
      </c>
      <c r="D16" t="n">
        <v>24661</v>
      </c>
      <c r="E16" t="n">
        <v>23034</v>
      </c>
      <c r="F16" t="n">
        <v>6576</v>
      </c>
      <c r="G16" t="n">
        <v>6142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موجودات وذمم مدينة أخرى</t>
        </is>
      </c>
      <c r="C17" t="inlineStr">
        <is>
          <t>9</t>
        </is>
      </c>
      <c r="D17" t="n">
        <v>48265</v>
      </c>
      <c r="E17" t="n">
        <v>32418</v>
      </c>
      <c r="F17" t="n">
        <v>12871</v>
      </c>
      <c r="G17" t="n">
        <v>8645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استثمارات في أوراق مالية</t>
        </is>
      </c>
      <c r="C18" t="inlineStr">
        <is>
          <t>10</t>
        </is>
      </c>
      <c r="D18" t="n">
        <v>33974</v>
      </c>
      <c r="E18" t="n">
        <v>26758</v>
      </c>
      <c r="F18" t="n">
        <v>9060</v>
      </c>
      <c r="G18" t="n">
        <v>7136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subtotal</t>
        </is>
      </c>
      <c r="B19" t="inlineStr"/>
      <c r="C19" t="inlineStr"/>
      <c r="D19" t="n">
        <v>1746205</v>
      </c>
      <c r="E19" t="n">
        <v>1635093</v>
      </c>
      <c r="F19" t="n">
        <v>465655</v>
      </c>
      <c r="G19" t="n">
        <v>436025</v>
      </c>
      <c r="R19" t="inlineStr">
        <is>
          <t>12,13,14,15,16,17,18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section</t>
        </is>
      </c>
      <c r="B20" t="inlineStr">
        <is>
          <t>الموجودات المتداولة</t>
        </is>
      </c>
      <c r="C20" t="inlineStr"/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item</t>
        </is>
      </c>
      <c r="B21" t="inlineStr">
        <is>
          <t>مخزون</t>
        </is>
      </c>
      <c r="C21" t="inlineStr">
        <is>
          <t>11</t>
        </is>
      </c>
      <c r="D21" t="n">
        <v>85951</v>
      </c>
      <c r="E21" t="n">
        <v>100528</v>
      </c>
      <c r="F21" t="n">
        <v>22920</v>
      </c>
      <c r="G21" t="n">
        <v>26808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item</t>
        </is>
      </c>
      <c r="B22" t="inlineStr">
        <is>
          <t>ذمم مدينة تجارية</t>
        </is>
      </c>
      <c r="C22" t="inlineStr">
        <is>
          <t>12</t>
        </is>
      </c>
      <c r="D22" t="n">
        <v>163919</v>
      </c>
      <c r="E22" t="n">
        <v>164442</v>
      </c>
      <c r="F22" t="n">
        <v>43712</v>
      </c>
      <c r="G22" t="n">
        <v>43851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item</t>
        </is>
      </c>
      <c r="B23" t="inlineStr">
        <is>
          <t>مبالغ مستحقة من الحكومة</t>
        </is>
      </c>
      <c r="C23" t="inlineStr">
        <is>
          <t>13</t>
        </is>
      </c>
      <c r="D23" t="n">
        <v>49378</v>
      </c>
      <c r="E23" t="n">
        <v>54545</v>
      </c>
      <c r="F23" t="n">
        <v>13168</v>
      </c>
      <c r="G23" t="n">
        <v>14545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item</t>
        </is>
      </c>
      <c r="B24" t="inlineStr">
        <is>
          <t>موجودات وذمم مدينة أخرى</t>
        </is>
      </c>
      <c r="C24" t="inlineStr">
        <is>
          <t>9</t>
        </is>
      </c>
      <c r="D24" t="n">
        <v>33747</v>
      </c>
      <c r="E24" t="n">
        <v>31054</v>
      </c>
      <c r="F24" t="n">
        <v>8999</v>
      </c>
      <c r="G24" t="n">
        <v>8281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item</t>
        </is>
      </c>
      <c r="B25" t="inlineStr">
        <is>
          <t>استثمارات قصيرة الأجل</t>
        </is>
      </c>
      <c r="C25" t="inlineStr">
        <is>
          <t>14</t>
        </is>
      </c>
      <c r="D25" t="n">
        <v>184343</v>
      </c>
      <c r="E25" t="n">
        <v>281215</v>
      </c>
      <c r="F25" t="n">
        <v>49158</v>
      </c>
      <c r="G25" t="n">
        <v>74991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item</t>
        </is>
      </c>
      <c r="B26" t="inlineStr">
        <is>
          <t>نقد وما يماثله</t>
        </is>
      </c>
      <c r="C26" t="inlineStr">
        <is>
          <t>15</t>
        </is>
      </c>
      <c r="D26" t="n">
        <v>198973</v>
      </c>
      <c r="E26" t="n">
        <v>226047</v>
      </c>
      <c r="F26" t="n">
        <v>53059</v>
      </c>
      <c r="G26" t="n">
        <v>60279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A27" t="inlineStr">
        <is>
          <t>subtotal</t>
        </is>
      </c>
      <c r="B27" t="inlineStr"/>
      <c r="C27" t="inlineStr"/>
      <c r="D27" t="n">
        <v>716311</v>
      </c>
      <c r="E27" t="n">
        <v>857831</v>
      </c>
      <c r="F27" t="n">
        <v>191016</v>
      </c>
      <c r="G27" t="n">
        <v>228755</v>
      </c>
      <c r="R27" t="inlineStr">
        <is>
          <t>21,22,23,24,25,26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A28" t="inlineStr">
        <is>
          <t>item</t>
        </is>
      </c>
      <c r="B28" t="inlineStr">
        <is>
          <t>موجودات مصنفة كمعدة للبيع</t>
        </is>
      </c>
      <c r="C28" t="inlineStr">
        <is>
          <t>34(أ)</t>
        </is>
      </c>
      <c r="D28" t="n">
        <v>15424</v>
      </c>
      <c r="E28" t="inlineStr">
        <is>
          <t>-</t>
        </is>
      </c>
      <c r="F28" t="n">
        <v>4113</v>
      </c>
      <c r="G28" t="inlineStr">
        <is>
          <t>-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A29" t="inlineStr">
        <is>
          <t>subtotal</t>
        </is>
      </c>
      <c r="B29" t="inlineStr"/>
      <c r="C29" t="inlineStr"/>
      <c r="D29" t="n">
        <v>731735</v>
      </c>
      <c r="E29" t="n">
        <v>857831</v>
      </c>
      <c r="F29" t="n">
        <v>195129</v>
      </c>
      <c r="G29" t="n">
        <v>228755</v>
      </c>
      <c r="R29" t="inlineStr">
        <is>
          <t>27,28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A30" t="inlineStr">
        <is>
          <t>total</t>
        </is>
      </c>
      <c r="B30" t="inlineStr">
        <is>
          <t>مجموع الموجودات</t>
        </is>
      </c>
      <c r="C30" t="inlineStr"/>
      <c r="D30" t="n">
        <v>2477940</v>
      </c>
      <c r="E30" t="n">
        <v>2492924</v>
      </c>
      <c r="F30" t="n">
        <v>660784</v>
      </c>
      <c r="G30" t="n">
        <v>664780</v>
      </c>
      <c r="R30" t="inlineStr">
        <is>
          <t>19,29</t>
        </is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A31" t="inlineStr">
        <is>
          <t>section</t>
        </is>
      </c>
      <c r="B31" t="inlineStr">
        <is>
          <t>حقوق الملكية والمطلوبات</t>
        </is>
      </c>
      <c r="C31" t="inlineStr"/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A32" t="inlineStr">
        <is>
          <t>section</t>
        </is>
      </c>
      <c r="B32" t="inlineStr">
        <is>
          <t>حقوق المساهمين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A33" t="inlineStr">
        <is>
          <t>item</t>
        </is>
      </c>
      <c r="B33" t="inlineStr">
        <is>
          <t>رأس المال</t>
        </is>
      </c>
      <c r="C33" t="inlineStr"/>
      <c r="D33" t="n">
        <v>90000</v>
      </c>
      <c r="E33" t="n">
        <v>75000</v>
      </c>
      <c r="F33" t="n">
        <v>24000</v>
      </c>
      <c r="G33" t="n">
        <v>20000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A34" t="inlineStr">
        <is>
          <t>item</t>
        </is>
      </c>
      <c r="B34" t="inlineStr">
        <is>
          <t>رأس مال إضافي مدفوع</t>
        </is>
      </c>
      <c r="C34" t="inlineStr"/>
      <c r="D34" t="n">
        <v>26981</v>
      </c>
      <c r="E34" t="n">
        <v>26981</v>
      </c>
      <c r="F34" t="n">
        <v>7195</v>
      </c>
      <c r="G34" t="n">
        <v>7195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A35" t="inlineStr">
        <is>
          <t>item</t>
        </is>
      </c>
      <c r="B35" t="inlineStr">
        <is>
          <t>أسهم خزينة</t>
        </is>
      </c>
      <c r="C35" t="inlineStr">
        <is>
          <t>16</t>
        </is>
      </c>
      <c r="D35" t="n">
        <v>-1362</v>
      </c>
      <c r="E35" t="n">
        <v>-2236</v>
      </c>
      <c r="F35" t="n">
        <v>-363</v>
      </c>
      <c r="G35" t="n">
        <v>-596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A36" t="inlineStr">
        <is>
          <t>section</t>
        </is>
      </c>
      <c r="B36" t="inlineStr">
        <is>
          <t>أرباح مبقاة:</t>
        </is>
      </c>
      <c r="C36" t="inlineStr"/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A37" t="inlineStr">
        <is>
          <t>item</t>
        </is>
      </c>
      <c r="B37" t="inlineStr">
        <is>
          <t>غير مخصصة</t>
        </is>
      </c>
      <c r="C37" t="inlineStr"/>
      <c r="D37" t="n">
        <v>1411474</v>
      </c>
      <c r="E37" t="n">
        <v>1339892</v>
      </c>
      <c r="F37" t="n">
        <v>376394</v>
      </c>
      <c r="G37" t="n">
        <v>357305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A38" t="inlineStr">
        <is>
          <t>item</t>
        </is>
      </c>
      <c r="B38" t="inlineStr">
        <is>
          <t>مخصصة</t>
        </is>
      </c>
      <c r="C38" t="inlineStr"/>
      <c r="D38" t="n">
        <v>6000</v>
      </c>
      <c r="E38" t="n">
        <v>6000</v>
      </c>
      <c r="F38" t="n">
        <v>1600</v>
      </c>
      <c r="G38" t="n">
        <v>1600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A39" t="inlineStr">
        <is>
          <t>item</t>
        </is>
      </c>
      <c r="B39" t="inlineStr">
        <is>
          <t>احتياطيات أخرى</t>
        </is>
      </c>
      <c r="C39" t="inlineStr">
        <is>
          <t>18</t>
        </is>
      </c>
      <c r="D39" t="n">
        <v>1514</v>
      </c>
      <c r="E39" t="n">
        <v>3279</v>
      </c>
      <c r="F39" t="n">
        <v>403</v>
      </c>
      <c r="G39" t="n">
        <v>874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A40" t="inlineStr">
        <is>
          <t>subtotal</t>
        </is>
      </c>
      <c r="B40" t="inlineStr"/>
      <c r="C40" t="inlineStr"/>
      <c r="D40" t="n">
        <v>1534607</v>
      </c>
      <c r="E40" t="n">
        <v>1448916</v>
      </c>
      <c r="F40" t="n">
        <v>409229</v>
      </c>
      <c r="G40" t="n">
        <v>386378</v>
      </c>
      <c r="R40" t="inlineStr">
        <is>
          <t>33,34,35,36,37,38,39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A41" t="inlineStr">
        <is>
          <t>item</t>
        </is>
      </c>
      <c r="B41" t="inlineStr">
        <is>
          <t>الحصص غير المسيطرة</t>
        </is>
      </c>
      <c r="C41" t="inlineStr">
        <is>
          <t>19</t>
        </is>
      </c>
      <c r="D41" t="n">
        <v>202485</v>
      </c>
      <c r="E41" t="n">
        <v>217231</v>
      </c>
      <c r="F41" t="n">
        <v>53996</v>
      </c>
      <c r="G41" t="n">
        <v>57928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A42" t="inlineStr">
        <is>
          <t>total</t>
        </is>
      </c>
      <c r="B42" t="inlineStr"/>
      <c r="C42" t="inlineStr"/>
      <c r="D42" t="n">
        <v>1737092</v>
      </c>
      <c r="E42" t="n">
        <v>1666147</v>
      </c>
      <c r="F42" t="n">
        <v>463225</v>
      </c>
      <c r="G42" t="n">
        <v>444306</v>
      </c>
      <c r="R42" t="inlineStr">
        <is>
          <t>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A43" t="inlineStr">
        <is>
          <t>section</t>
        </is>
      </c>
      <c r="B43" t="inlineStr">
        <is>
          <t>المطلوبات غير المتداولة</t>
        </is>
      </c>
      <c r="C43" t="inlineStr"/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A44" t="inlineStr">
        <is>
          <t>item</t>
        </is>
      </c>
      <c r="B44" t="inlineStr">
        <is>
          <t>قروض</t>
        </is>
      </c>
      <c r="C44" t="inlineStr">
        <is>
          <t>20</t>
        </is>
      </c>
      <c r="D44" t="n">
        <v>226481</v>
      </c>
      <c r="E44" t="n">
        <v>318380</v>
      </c>
      <c r="F44" t="n">
        <v>60395</v>
      </c>
      <c r="G44" t="n">
        <v>84901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A45" t="inlineStr">
        <is>
          <t>item</t>
        </is>
      </c>
      <c r="B45" t="inlineStr">
        <is>
          <t>مطلوبات ضريبة دخل مؤجلة</t>
        </is>
      </c>
      <c r="C45" t="inlineStr">
        <is>
          <t>8</t>
        </is>
      </c>
      <c r="D45" t="n">
        <v>142449</v>
      </c>
      <c r="E45" t="n">
        <v>122311</v>
      </c>
      <c r="F45" t="n">
        <v>37986</v>
      </c>
      <c r="G45" t="n">
        <v>32616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A46" t="inlineStr">
        <is>
          <t>item</t>
        </is>
      </c>
      <c r="B46" t="inlineStr">
        <is>
          <t>منافع ما بعد انتهاء التوظيف</t>
        </is>
      </c>
      <c r="C46" t="inlineStr">
        <is>
          <t>21</t>
        </is>
      </c>
      <c r="D46" t="n">
        <v>26147</v>
      </c>
      <c r="E46" t="n">
        <v>26923</v>
      </c>
      <c r="F46" t="n">
        <v>6973</v>
      </c>
      <c r="G46" t="n">
        <v>7179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A47" t="inlineStr">
        <is>
          <t>item</t>
        </is>
      </c>
      <c r="B47" t="inlineStr">
        <is>
          <t>مخصصات ومطلوبات أخرى</t>
        </is>
      </c>
      <c r="C47" t="inlineStr">
        <is>
          <t>22</t>
        </is>
      </c>
      <c r="D47" t="n">
        <v>28205</v>
      </c>
      <c r="E47" t="n">
        <v>27777</v>
      </c>
      <c r="F47" t="n">
        <v>7521</v>
      </c>
      <c r="G47" t="n">
        <v>7408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A48" t="inlineStr">
        <is>
          <t>subtotal</t>
        </is>
      </c>
      <c r="B48" t="inlineStr"/>
      <c r="C48" t="inlineStr"/>
      <c r="D48" t="n">
        <v>423282</v>
      </c>
      <c r="E48" t="n">
        <v>495391</v>
      </c>
      <c r="F48" t="n">
        <v>112875</v>
      </c>
      <c r="G48" t="n">
        <v>132104</v>
      </c>
      <c r="R48" t="inlineStr">
        <is>
          <t>44,45,46,47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A49" t="inlineStr">
        <is>
          <t>section</t>
        </is>
      </c>
      <c r="B49" t="inlineStr">
        <is>
          <t>المطلوبات المتداولة</t>
        </is>
      </c>
      <c r="C49" t="inlineStr"/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A50" t="inlineStr">
        <is>
          <t>item</t>
        </is>
      </c>
      <c r="B50" t="inlineStr">
        <is>
          <t>ذمم دائنة تجارية ومطلوبات أخرى</t>
        </is>
      </c>
      <c r="C50" t="inlineStr">
        <is>
          <t>23</t>
        </is>
      </c>
      <c r="D50" t="n">
        <v>151553</v>
      </c>
      <c r="E50" t="n">
        <v>135390</v>
      </c>
      <c r="F50" t="n">
        <v>40414</v>
      </c>
      <c r="G50" t="n">
        <v>36104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A51" t="inlineStr">
        <is>
          <t>section</t>
        </is>
      </c>
      <c r="B51" t="inlineStr">
        <is>
          <t>التزامات للحكومة:</t>
        </is>
      </c>
      <c r="C51" t="inlineStr"/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A52" t="inlineStr">
        <is>
          <t>item</t>
        </is>
      </c>
      <c r="B52" t="inlineStr">
        <is>
          <t>ضرائب دخل وزكاة</t>
        </is>
      </c>
      <c r="C52" t="inlineStr">
        <is>
          <t>8</t>
        </is>
      </c>
      <c r="D52" t="n">
        <v>82539</v>
      </c>
      <c r="E52" t="n">
        <v>104978</v>
      </c>
      <c r="F52" t="n">
        <v>22010</v>
      </c>
      <c r="G52" t="n">
        <v>27995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A53" t="inlineStr">
        <is>
          <t>item</t>
        </is>
      </c>
      <c r="B53" t="inlineStr">
        <is>
          <t>ريع</t>
        </is>
      </c>
      <c r="C53" t="inlineStr"/>
      <c r="D53" t="n">
        <v>14107</v>
      </c>
      <c r="E53" t="n">
        <v>16254</v>
      </c>
      <c r="F53" t="n">
        <v>3762</v>
      </c>
      <c r="G53" t="n">
        <v>4334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A54" t="inlineStr">
        <is>
          <t>item</t>
        </is>
      </c>
      <c r="B54" t="inlineStr">
        <is>
          <t>قروض</t>
        </is>
      </c>
      <c r="C54" t="inlineStr">
        <is>
          <t>20</t>
        </is>
      </c>
      <c r="D54" t="n">
        <v>63666</v>
      </c>
      <c r="E54" t="n">
        <v>74764</v>
      </c>
      <c r="F54" t="n">
        <v>16978</v>
      </c>
      <c r="G54" t="n">
        <v>19937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A55" t="inlineStr">
        <is>
          <t>subtotal</t>
        </is>
      </c>
      <c r="B55" t="inlineStr"/>
      <c r="C55" t="inlineStr"/>
      <c r="D55" t="n">
        <v>311865</v>
      </c>
      <c r="E55" t="n">
        <v>331386</v>
      </c>
      <c r="F55" t="n">
        <v>83164</v>
      </c>
      <c r="G55" t="n">
        <v>88370</v>
      </c>
      <c r="R55" t="inlineStr">
        <is>
          <t>50,51,52,53,54</t>
        </is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A56" t="inlineStr">
        <is>
          <t>item</t>
        </is>
      </c>
      <c r="B56" t="inlineStr">
        <is>
          <t>مطلوبات مرتبطة مباشرةً بموجودات مصنفة كمعدة للبيع</t>
        </is>
      </c>
      <c r="C56" t="inlineStr">
        <is>
          <t>34(أ)</t>
        </is>
      </c>
      <c r="D56" t="n">
        <v>5701</v>
      </c>
      <c r="E56" t="inlineStr">
        <is>
          <t>-</t>
        </is>
      </c>
      <c r="F56" t="n">
        <v>1520</v>
      </c>
      <c r="G56" t="inlineStr">
        <is>
          <t>-</t>
        </is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A57" t="inlineStr">
        <is>
          <t>subtotal</t>
        </is>
      </c>
      <c r="B57" t="inlineStr"/>
      <c r="C57" t="inlineStr"/>
      <c r="D57" t="n">
        <v>317566</v>
      </c>
      <c r="E57" t="n">
        <v>331386</v>
      </c>
      <c r="F57" t="n">
        <v>84684</v>
      </c>
      <c r="G57" t="n">
        <v>88370</v>
      </c>
      <c r="R57" t="inlineStr">
        <is>
          <t>55,56</t>
        </is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A58" t="inlineStr">
        <is>
          <t>total</t>
        </is>
      </c>
      <c r="B58" t="inlineStr">
        <is>
          <t>مجموع المطلوبات</t>
        </is>
      </c>
      <c r="C58" t="inlineStr"/>
      <c r="D58" t="n">
        <v>740848</v>
      </c>
      <c r="E58" t="n">
        <v>826777</v>
      </c>
      <c r="F58" t="n">
        <v>197559</v>
      </c>
      <c r="G58" t="n">
        <v>220474</v>
      </c>
      <c r="R58" t="inlineStr">
        <is>
          <t>48,57</t>
        </is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A59" t="inlineStr">
        <is>
          <t>total</t>
        </is>
      </c>
      <c r="B59" t="inlineStr">
        <is>
          <t>مجموع حقوق الملكية والمطلوبات</t>
        </is>
      </c>
      <c r="C59" t="inlineStr"/>
      <c r="D59" t="n">
        <v>2477940</v>
      </c>
      <c r="E59" t="n">
        <v>2492924</v>
      </c>
      <c r="F59" t="n">
        <v>660784</v>
      </c>
      <c r="G59" t="n">
        <v>664780</v>
      </c>
      <c r="R59" t="inlineStr">
        <is>
          <t>42,58</t>
        </is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رأس المال الإضافي المدفوع</t>
        </is>
      </c>
      <c r="F7" s="5" t="inlineStr">
        <is>
          <t>أسهم الخزينة</t>
        </is>
      </c>
      <c r="G7" s="5" t="inlineStr">
        <is>
          <t>الأرباح المبقاة — غير المخصصة</t>
        </is>
      </c>
      <c r="H7" s="5" t="inlineStr">
        <is>
          <t>الأرباح المبقاة — المخصصة</t>
        </is>
      </c>
      <c r="I7" s="5" t="inlineStr">
        <is>
          <t>الاحتياطيات الأخرى (إيضاح 18)</t>
        </is>
      </c>
      <c r="J7" s="5" t="inlineStr">
        <is>
          <t>الحصص غير المسيطرة</t>
        </is>
      </c>
      <c r="K7" s="5" t="inlineStr">
        <is>
          <t>المجموع (ريال)</t>
        </is>
      </c>
      <c r="L7" s="5" t="inlineStr">
        <is>
          <t>المجموع (دولار)</t>
        </is>
      </c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USD</t>
        </is>
      </c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2022</t>
        </is>
      </c>
      <c r="C10" t="inlineStr"/>
      <c r="D10" t="n">
        <v>60000</v>
      </c>
      <c r="E10" t="n">
        <v>26981</v>
      </c>
      <c r="F10" t="n">
        <v>-2828</v>
      </c>
      <c r="G10" t="n">
        <v>1018443</v>
      </c>
      <c r="H10" t="n">
        <v>6000</v>
      </c>
      <c r="I10" t="n">
        <v>4661</v>
      </c>
      <c r="J10" t="n">
        <v>167411</v>
      </c>
      <c r="K10" t="n">
        <v>1280668</v>
      </c>
      <c r="L10" t="n">
        <v>341512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","")&amp;",")),L$10:L$209))))&lt;=1,TRUE)),"✓","✗"))</f>
        <v/>
      </c>
    </row>
    <row r="11">
      <c r="A11" t="inlineStr">
        <is>
          <t>item</t>
        </is>
      </c>
      <c r="B11" t="inlineStr">
        <is>
          <t>صافي الدخل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597215</v>
      </c>
      <c r="H11" t="inlineStr">
        <is>
          <t>-</t>
        </is>
      </c>
      <c r="I11" t="inlineStr">
        <is>
          <t>-</t>
        </is>
      </c>
      <c r="J11" t="n">
        <v>6790</v>
      </c>
      <c r="K11" t="n">
        <v>604005</v>
      </c>
      <c r="L11" t="n">
        <v>161068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","")&amp;",")),K$10:K$209))))&lt;=1,TRUE),IF(OR(ISNUMBER(L11),L11="-"),ABS(N(L11)-(IF(ISNUMBER(SEARCH(":",SUBSTITUTE($R11," ",""))),SUM(INDIRECT("L"&amp;LEFT(SUBSTITUTE($R11," ",""),SEARCH(":",SUBSTITUTE($R11," ",""))-1)&amp;":L"&amp;MID(SUBSTITUTE($R11," ",""),SEARCH(":",SUBSTITUTE($R11," ",""))+1,10))),SUMPRODUCT(--ISNUMBER(SEARCH(","&amp;ROW(L$10:L$209)&amp;",",","&amp;SUBSTITUTE($R11," ","")&amp;",")),L$10:L$209)-SUMPRODUCT(--ISNUMBER(SEARCH(",-"&amp;ROW(L$10:L$209)&amp;",",","&amp;SUBSTITUTE($R11," ","")&amp;",")),L$10:L$209))))&lt;=1,TRUE)),"✓","✗"))</f>
        <v/>
      </c>
    </row>
    <row r="12">
      <c r="A12" t="inlineStr">
        <is>
          <t>item</t>
        </is>
      </c>
      <c r="B12" t="inlineStr">
        <is>
          <t>الدخل الشامل الآخر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18030</v>
      </c>
      <c r="J12" t="n">
        <v>596</v>
      </c>
      <c r="K12" t="n">
        <v>18626</v>
      </c>
      <c r="L12" t="n">
        <v>4967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","")&amp;",")),K$10:K$209))))&lt;=1,TRUE),IF(OR(ISNUMBER(L12),L12="-"),ABS(N(L12)-(IF(ISNUMBER(SEARCH(":",SUBSTITUTE($R12," ",""))),SUM(INDIRECT("L"&amp;LEFT(SUBSTITUTE($R12," ",""),SEARCH(":",SUBSTITUTE($R12," ",""))-1)&amp;":L"&amp;MID(SUBSTITUTE($R12," ",""),SEARCH(":",SUBSTITUTE($R12," ",""))+1,10))),SUMPRODUCT(--ISNUMBER(SEARCH(","&amp;ROW(L$10:L$209)&amp;",",","&amp;SUBSTITUTE($R12," ","")&amp;",")),L$10:L$209)-SUMPRODUCT(--ISNUMBER(SEARCH(",-"&amp;ROW(L$10:L$209)&amp;",",","&amp;SUBSTITUTE($R12," ","")&amp;",")),L$10:L$209))))&lt;=1,TRUE)),"✓","✗"))</f>
        <v/>
      </c>
    </row>
    <row r="13">
      <c r="A13" t="inlineStr">
        <is>
          <t>subtotal</t>
        </is>
      </c>
      <c r="B13" t="inlineStr">
        <is>
          <t>مجموع الدخل الشامل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597215</v>
      </c>
      <c r="H13" t="inlineStr">
        <is>
          <t>-</t>
        </is>
      </c>
      <c r="I13" t="n">
        <v>18030</v>
      </c>
      <c r="J13" t="n">
        <v>7386</v>
      </c>
      <c r="K13" t="n">
        <v>622631</v>
      </c>
      <c r="L13" t="n">
        <v>166035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","")&amp;",")),K$10:K$209))))&lt;=1,TRUE),IF(OR(ISNUMBER(L13),L13="-"),ABS(N(L13)-(IF(ISNUMBER(SEARCH(":",SUBSTITUTE($R13," ",""))),SUM(INDIRECT("L"&amp;LEFT(SUBSTITUTE($R13," ",""),SEARCH(":",SUBSTITUTE($R13," ",""))-1)&amp;":L"&amp;MID(SUBSTITUTE($R13," ",""),SEARCH(":",SUBSTITUTE($R13," ",""))+1,10))),SUMPRODUCT(--ISNUMBER(SEARCH(","&amp;ROW(L$10:L$209)&amp;",",","&amp;SUBSTITUTE($R13," ","")&amp;",")),L$10:L$209)-SUMPRODUCT(--ISNUMBER(SEARCH(",-"&amp;ROW(L$10:L$209)&amp;",",","&amp;SUBSTITUTE($R13," ","")&amp;",")),L$10:L$209))))&lt;=1,TRUE)),"✓","✗"))</f>
        <v/>
      </c>
    </row>
    <row r="14">
      <c r="A14" t="inlineStr">
        <is>
          <t>item</t>
        </is>
      </c>
      <c r="B14" t="inlineStr">
        <is>
          <t>تحويل إعادة قياس منافع ما بعد انتهاء التوظيف (إيضاح 18)</t>
        </is>
      </c>
      <c r="C14" t="inlineStr"/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19427</v>
      </c>
      <c r="H14" t="inlineStr">
        <is>
          <t>-</t>
        </is>
      </c>
      <c r="I14" t="n">
        <v>-19427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","")&amp;",")),K$10:K$209))))&lt;=1,TRUE),IF(OR(ISNUMBER(L14),L14="-"),ABS(N(L14)-(IF(ISNUMBER(SEARCH(":",SUBSTITUTE($R14," ",""))),SUM(INDIRECT("L"&amp;LEFT(SUBSTITUTE($R14," ",""),SEARCH(":",SUBSTITUTE($R14," ",""))-1)&amp;":L"&amp;MID(SUBSTITUTE($R14," ",""),SEARCH(":",SUBSTITUTE($R14," ",""))+1,10))),SUMPRODUCT(--ISNUMBER(SEARCH(","&amp;ROW(L$10:L$209)&amp;",",","&amp;SUBSTITUTE($R14," ","")&amp;",")),L$10:L$209)-SUMPRODUCT(--ISNUMBER(SEARCH(",-"&amp;ROW(L$10:L$209)&amp;",",","&amp;SUBSTITUTE($R14," ","")&amp;",")),L$10:L$209))))&lt;=1,TRUE)),"✓","✗"))</f>
        <v/>
      </c>
    </row>
    <row r="15">
      <c r="A15" t="inlineStr">
        <is>
          <t>item</t>
        </is>
      </c>
      <c r="B15" t="inlineStr">
        <is>
          <t>تحويل حصة إعادة قياس منافع ما بعد انتهاء التوظيف من مشاريع مشتركة وشركات زميلة (إيضاح 18)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144</v>
      </c>
      <c r="H15" t="inlineStr">
        <is>
          <t>-</t>
        </is>
      </c>
      <c r="I15" t="n">
        <v>-144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","")&amp;",")),K$10:K$209))))&lt;=1,TRUE),IF(OR(ISNUMBER(L15),L15="-"),ABS(N(L15)-(IF(ISNUMBER(SEARCH(":",SUBSTITUTE($R15," ",""))),SUM(INDIRECT("L"&amp;LEFT(SUBSTITUTE($R15," ",""),SEARCH(":",SUBSTITUTE($R15," ",""))-1)&amp;":L"&amp;MID(SUBSTITUTE($R15," ",""),SEARCH(":",SUBSTITUTE($R15," ",""))+1,10))),SUMPRODUCT(--ISNUMBER(SEARCH(","&amp;ROW(L$10:L$209)&amp;",",","&amp;SUBSTITUTE($R15," ","")&amp;",")),L$10:L$209)-SUMPRODUCT(--ISNUMBER(SEARCH(",-"&amp;ROW(L$10:L$209)&amp;",",","&amp;SUBSTITUTE($R15," ","")&amp;",")),L$10:L$209))))&lt;=1,TRUE)),"✓","✗"))</f>
        <v/>
      </c>
    </row>
    <row r="16">
      <c r="A16" t="inlineStr">
        <is>
          <t>item</t>
        </is>
      </c>
      <c r="B16" t="inlineStr">
        <is>
          <t>أسهم خزينة مصدرة للموظفين (إيضاح 16)</t>
        </is>
      </c>
      <c r="C16" t="inlineStr"/>
      <c r="D16" t="inlineStr">
        <is>
          <t>-</t>
        </is>
      </c>
      <c r="E16" t="inlineStr">
        <is>
          <t>-</t>
        </is>
      </c>
      <c r="F16" t="n">
        <v>592</v>
      </c>
      <c r="G16" t="n">
        <v>99</v>
      </c>
      <c r="H16" t="inlineStr">
        <is>
          <t>-</t>
        </is>
      </c>
      <c r="I16" t="n">
        <v>-137</v>
      </c>
      <c r="J16" t="inlineStr">
        <is>
          <t>-</t>
        </is>
      </c>
      <c r="K16" t="n">
        <v>554</v>
      </c>
      <c r="L16" t="n">
        <v>147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","")&amp;",")),K$10:K$209))))&lt;=1,TRUE),IF(OR(ISNUMBER(L16),L16="-"),ABS(N(L16)-(IF(ISNUMBER(SEARCH(":",SUBSTITUTE($R16," ",""))),SUM(INDIRECT("L"&amp;LEFT(SUBSTITUTE($R16," ",""),SEARCH(":",SUBSTITUTE($R16," ",""))-1)&amp;":L"&amp;MID(SUBSTITUTE($R16," ",""),SEARCH(":",SUBSTITUTE($R16," ",""))+1,10))),SUMPRODUCT(--ISNUMBER(SEARCH(","&amp;ROW(L$10:L$209)&amp;",",","&amp;SUBSTITUTE($R16," ","")&amp;",")),L$10:L$209)-SUMPRODUCT(--ISNUMBER(SEARCH(",-"&amp;ROW(L$10:L$209)&amp;",",","&amp;SUBSTITUTE($R16," ","")&amp;",")),L$10:L$209))))&lt;=1,TRUE)),"✓","✗"))</f>
        <v/>
      </c>
    </row>
    <row r="17">
      <c r="A17" t="inlineStr">
        <is>
          <t>item</t>
        </is>
      </c>
      <c r="B17" t="inlineStr">
        <is>
          <t>تعويض على أساس السهم</t>
        </is>
      </c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-3</v>
      </c>
      <c r="H17" t="inlineStr">
        <is>
          <t>-</t>
        </is>
      </c>
      <c r="I17" t="n">
        <v>296</v>
      </c>
      <c r="J17" t="inlineStr">
        <is>
          <t>-</t>
        </is>
      </c>
      <c r="K17" t="n">
        <v>293</v>
      </c>
      <c r="L17" t="n">
        <v>78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","")&amp;",")),K$10:K$209))))&lt;=1,TRUE),IF(OR(ISNUMBER(L17),L17="-"),ABS(N(L17)-(IF(ISNUMBER(SEARCH(":",SUBSTITUTE($R17," ",""))),SUM(INDIRECT("L"&amp;LEFT(SUBSTITUTE($R17," ",""),SEARCH(":",SUBSTITUTE($R17," ",""))-1)&amp;":L"&amp;MID(SUBSTITUTE($R17," ",""),SEARCH(":",SUBSTITUTE($R17," ",""))+1,10))),SUMPRODUCT(--ISNUMBER(SEARCH(","&amp;ROW(L$10:L$209)&amp;",",","&amp;SUBSTITUTE($R17," ","")&amp;",")),L$10:L$209)-SUMPRODUCT(--ISNUMBER(SEARCH(",-"&amp;ROW(L$10:L$209)&amp;",",","&amp;SUBSTITUTE($R17," ","")&amp;",")),L$10:L$209))))&lt;=1,TRUE)),"✓","✗"))</f>
        <v/>
      </c>
    </row>
    <row r="18">
      <c r="A18" t="inlineStr">
        <is>
          <t>item</t>
        </is>
      </c>
      <c r="B18" t="inlineStr">
        <is>
          <t>توزيعات أرباح (إيضاح 36)</t>
        </is>
      </c>
      <c r="C18" t="inlineStr"/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n">
        <v>-281318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-281318</v>
      </c>
      <c r="L18" t="n">
        <v>-75018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","")&amp;",")),K$10:K$209))))&lt;=1,TRUE),IF(OR(ISNUMBER(L18),L18="-"),ABS(N(L18)-(IF(ISNUMBER(SEARCH(":",SUBSTITUTE($R18," ",""))),SUM(INDIRECT("L"&amp;LEFT(SUBSTITUTE($R18," ",""),SEARCH(":",SUBSTITUTE($R18," ",""))-1)&amp;":L"&amp;MID(SUBSTITUTE($R18," ",""),SEARCH(":",SUBSTITUTE($R18," ",""))+1,10))),SUMPRODUCT(--ISNUMBER(SEARCH(","&amp;ROW(L$10:L$209)&amp;",",","&amp;SUBSTITUTE($R18," ","")&amp;",")),L$10:L$209)-SUMPRODUCT(--ISNUMBER(SEARCH(",-"&amp;ROW(L$10:L$209)&amp;",",","&amp;SUBSTITUTE($R18," ","")&amp;",")),L$10:L$209))))&lt;=1,TRUE)),"✓","✗"))</f>
        <v/>
      </c>
    </row>
    <row r="19">
      <c r="A19" t="inlineStr">
        <is>
          <t>item</t>
        </is>
      </c>
      <c r="B19" t="inlineStr">
        <is>
          <t>أسهم مجانية مصدرة (إيضاح 36)</t>
        </is>
      </c>
      <c r="C19" t="inlineStr"/>
      <c r="D19" t="n">
        <v>15000</v>
      </c>
      <c r="E19" t="inlineStr">
        <is>
          <t>-</t>
        </is>
      </c>
      <c r="F19" t="inlineStr">
        <is>
          <t>-</t>
        </is>
      </c>
      <c r="G19" t="n">
        <v>-15000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","")&amp;",")),K$10:K$209))))&lt;=1,TRUE),IF(OR(ISNUMBER(L19),L19="-"),ABS(N(L19)-(IF(ISNUMBER(SEARCH(":",SUBSTITUTE($R19," ",""))),SUM(INDIRECT("L"&amp;LEFT(SUBSTITUTE($R19," ",""),SEARCH(":",SUBSTITUTE($R19," ",""))-1)&amp;":L"&amp;MID(SUBSTITUTE($R19," ",""),SEARCH(":",SUBSTITUTE($R19," ",""))+1,10))),SUMPRODUCT(--ISNUMBER(SEARCH(","&amp;ROW(L$10:L$209)&amp;",",","&amp;SUBSTITUTE($R19," ","")&amp;",")),L$10:L$209)-SUMPRODUCT(--ISNUMBER(SEARCH(",-"&amp;ROW(L$10:L$209)&amp;",",","&amp;SUBSTITUTE($R19," ","")&amp;",")),L$10:L$209))))&lt;=1,TRUE)),"✓","✗"))</f>
        <v/>
      </c>
    </row>
    <row r="20">
      <c r="A20" t="inlineStr">
        <is>
          <t>item</t>
        </is>
      </c>
      <c r="B20" t="inlineStr">
        <is>
          <t>بيع حصة ملكية غير مسيطرة في شركة تابعة (إيضاح 34(ج))</t>
        </is>
      </c>
      <c r="C20" t="inlineStr"/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58125</v>
      </c>
      <c r="K20" t="n">
        <v>58125</v>
      </c>
      <c r="L20" t="n">
        <v>15500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","")&amp;",")),K$10:K$209))))&lt;=1,TRUE),IF(OR(ISNUMBER(L20),L20="-"),ABS(N(L20)-(IF(ISNUMBER(SEARCH(":",SUBSTITUTE($R20," ",""))),SUM(INDIRECT("L"&amp;LEFT(SUBSTITUTE($R20," ",""),SEARCH(":",SUBSTITUTE($R20," ",""))-1)&amp;":L"&amp;MID(SUBSTITUTE($R20," ",""),SEARCH(":",SUBSTITUTE($R20," ",""))+1,10))),SUMPRODUCT(--ISNUMBER(SEARCH(","&amp;ROW(L$10:L$209)&amp;",",","&amp;SUBSTITUTE($R20," ","")&amp;",")),L$10:L$209)-SUMPRODUCT(--ISNUMBER(SEARCH(",-"&amp;ROW(L$10:L$209)&amp;",",","&amp;SUBSTITUTE($R20," ","")&amp;",")),L$10:L$209))))&lt;=1,TRUE)),"✓","✗"))</f>
        <v/>
      </c>
    </row>
    <row r="21">
      <c r="A21" t="inlineStr">
        <is>
          <t>item</t>
        </is>
      </c>
      <c r="B21" t="inlineStr">
        <is>
          <t>استحواذ على حصص غير مسيطرة في بعض الشركات التابعة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-3</v>
      </c>
      <c r="H21" t="inlineStr">
        <is>
          <t>-</t>
        </is>
      </c>
      <c r="I21" t="inlineStr">
        <is>
          <t>-</t>
        </is>
      </c>
      <c r="J21" t="n">
        <v>-227</v>
      </c>
      <c r="K21" t="n">
        <v>-230</v>
      </c>
      <c r="L21" t="n">
        <v>-62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","")&amp;",")),K$10:K$209))))&lt;=1,TRUE),IF(OR(ISNUMBER(L21),L21="-"),ABS(N(L21)-(IF(ISNUMBER(SEARCH(":",SUBSTITUTE($R21," ",""))),SUM(INDIRECT("L"&amp;LEFT(SUBSTITUTE($R21," ",""),SEARCH(":",SUBSTITUTE($R21," ",""))-1)&amp;":L"&amp;MID(SUBSTITUTE($R21," ",""),SEARCH(":",SUBSTITUTE($R21," ",""))+1,10))),SUMPRODUCT(--ISNUMBER(SEARCH(","&amp;ROW(L$10:L$209)&amp;",",","&amp;SUBSTITUTE($R21," ","")&amp;",")),L$10:L$209)-SUMPRODUCT(--ISNUMBER(SEARCH(",-"&amp;ROW(L$10:L$209)&amp;",",","&amp;SUBSTITUTE($R21," ","")&amp;",")),L$10:L$209))))&lt;=1,TRUE)),"✓","✗"))</f>
        <v/>
      </c>
    </row>
    <row r="22">
      <c r="A22" t="inlineStr">
        <is>
          <t>item</t>
        </is>
      </c>
      <c r="B22" t="inlineStr">
        <is>
          <t>توزيعات أرباح إلى حصص غير مسيطرة وأخرى</t>
        </is>
      </c>
      <c r="C22" t="inlineStr"/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888</v>
      </c>
      <c r="H22" t="inlineStr">
        <is>
          <t>-</t>
        </is>
      </c>
      <c r="I22" t="inlineStr">
        <is>
          <t>-</t>
        </is>
      </c>
      <c r="J22" t="n">
        <v>-15464</v>
      </c>
      <c r="K22" t="n">
        <v>-14576</v>
      </c>
      <c r="L22" t="n">
        <v>-3886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","")&amp;",")),K$10:K$209))))&lt;=1,TRUE),IF(OR(ISNUMBER(L22),L22="-"),ABS(N(L22)-(IF(ISNUMBER(SEARCH(":",SUBSTITUTE($R22," ",""))),SUM(INDIRECT("L"&amp;LEFT(SUBSTITUTE($R22," ",""),SEARCH(":",SUBSTITUTE($R22," ",""))-1)&amp;":L"&amp;MID(SUBSTITUTE($R22," ",""),SEARCH(":",SUBSTITUTE($R22," ",""))+1,10))),SUMPRODUCT(--ISNUMBER(SEARCH(","&amp;ROW(L$10:L$209)&amp;",",","&amp;SUBSTITUTE($R22," ","")&amp;",")),L$10:L$209)-SUMPRODUCT(--ISNUMBER(SEARCH(",-"&amp;ROW(L$10:L$209)&amp;",",","&amp;SUBSTITUTE($R22," ","")&amp;",")),L$10:L$209))))&lt;=1,TRUE)),"✓","✗"))</f>
        <v/>
      </c>
    </row>
    <row r="23">
      <c r="A23" t="inlineStr">
        <is>
          <t>total</t>
        </is>
      </c>
      <c r="B23" t="inlineStr">
        <is>
          <t>الرصيد في 31 ديسمبر 2022</t>
        </is>
      </c>
      <c r="C23" t="inlineStr"/>
      <c r="D23" t="n">
        <v>75000</v>
      </c>
      <c r="E23" t="n">
        <v>26981</v>
      </c>
      <c r="F23" t="n">
        <v>-2236</v>
      </c>
      <c r="G23" t="n">
        <v>1339892</v>
      </c>
      <c r="H23" t="n">
        <v>6000</v>
      </c>
      <c r="I23" t="n">
        <v>3279</v>
      </c>
      <c r="J23" t="n">
        <v>217231</v>
      </c>
      <c r="K23" t="n">
        <v>1666147</v>
      </c>
      <c r="L23" t="n">
        <v>444306</v>
      </c>
      <c r="R23" t="inlineStr">
        <is>
          <t>10,13,14,15,16,17,18,19,20,21,22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","")&amp;",")),K$10:K$209))))&lt;=1,TRUE),IF(OR(ISNUMBER(L23),L23="-"),ABS(N(L23)-(IF(ISNUMBER(SEARCH(":",SUBSTITUTE($R23," ",""))),SUM(INDIRECT("L"&amp;LEFT(SUBSTITUTE($R23," ",""),SEARCH(":",SUBSTITUTE($R23," ",""))-1)&amp;":L"&amp;MID(SUBSTITUTE($R23," ",""),SEARCH(":",SUBSTITUTE($R23," ",""))+1,10))),SUMPRODUCT(--ISNUMBER(SEARCH(","&amp;ROW(L$10:L$209)&amp;",",","&amp;SUBSTITUTE($R23," ","")&amp;",")),L$10:L$209)-SUMPRODUCT(--ISNUMBER(SEARCH(",-"&amp;ROW(L$10:L$209)&amp;",",","&amp;SUBSTITUTE($R23," ","")&amp;",")),L$10:L$209))))&lt;=1,TRUE)),"✓","✗"))</f>
        <v/>
      </c>
    </row>
    <row r="24">
      <c r="A24" t="inlineStr">
        <is>
          <t>item</t>
        </is>
      </c>
      <c r="B24" t="inlineStr">
        <is>
          <t>صافي الدخل (الخسارة)</t>
        </is>
      </c>
      <c r="C24" t="inlineStr"/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n">
        <v>452753</v>
      </c>
      <c r="H24" t="inlineStr">
        <is>
          <t>-</t>
        </is>
      </c>
      <c r="I24" t="inlineStr">
        <is>
          <t>-</t>
        </is>
      </c>
      <c r="J24" t="n">
        <v>2011</v>
      </c>
      <c r="K24" t="n">
        <v>454764</v>
      </c>
      <c r="L24" t="n">
        <v>121271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","")&amp;",")),K$10:K$209))))&lt;=1,TRUE),IF(OR(ISNUMBER(L24),L24="-"),ABS(N(L24)-(IF(ISNUMBER(SEARCH(":",SUBSTITUTE($R24," ",""))),SUM(INDIRECT("L"&amp;LEFT(SUBSTITUTE($R24," ",""),SEARCH(":",SUBSTITUTE($R24," ",""))-1)&amp;":L"&amp;MID(SUBSTITUTE($R24," ",""),SEARCH(":",SUBSTITUTE($R24," ",""))+1,10))),SUMPRODUCT(--ISNUMBER(SEARCH(","&amp;ROW(L$10:L$209)&amp;",",","&amp;SUBSTITUTE($R24," ","")&amp;",")),L$10:L$209)-SUMPRODUCT(--ISNUMBER(SEARCH(",-"&amp;ROW(L$10:L$209)&amp;",",","&amp;SUBSTITUTE($R24," ","")&amp;",")),L$10:L$209))))&lt;=1,TRUE)),"✓","✗"))</f>
        <v/>
      </c>
    </row>
    <row r="25">
      <c r="A25" t="inlineStr">
        <is>
          <t>item</t>
        </is>
      </c>
      <c r="B25" t="inlineStr">
        <is>
          <t>الدخل (الخسارة) الشامل الآخر</t>
        </is>
      </c>
      <c r="C25" t="inlineStr"/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-1642</v>
      </c>
      <c r="J25" t="n">
        <v>-67</v>
      </c>
      <c r="K25" t="n">
        <v>-1709</v>
      </c>
      <c r="L25" t="n">
        <v>-456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","")&amp;",")),K$10:K$209))))&lt;=1,TRUE),IF(OR(ISNUMBER(L25),L25="-"),ABS(N(L25)-(IF(ISNUMBER(SEARCH(":",SUBSTITUTE($R25," ",""))),SUM(INDIRECT("L"&amp;LEFT(SUBSTITUTE($R25," ",""),SEARCH(":",SUBSTITUTE($R25," ",""))-1)&amp;":L"&amp;MID(SUBSTITUTE($R25," ",""),SEARCH(":",SUBSTITUTE($R25," ",""))+1,10))),SUMPRODUCT(--ISNUMBER(SEARCH(","&amp;ROW(L$10:L$209)&amp;",",","&amp;SUBSTITUTE($R25," ","")&amp;",")),L$10:L$209)-SUMPRODUCT(--ISNUMBER(SEARCH(",-"&amp;ROW(L$10:L$209)&amp;",",","&amp;SUBSTITUTE($R25," ","")&amp;",")),L$10:L$209))))&lt;=1,TRUE)),"✓","✗"))</f>
        <v/>
      </c>
    </row>
    <row r="26">
      <c r="A26" t="inlineStr">
        <is>
          <t>subtotal</t>
        </is>
      </c>
      <c r="B26" t="inlineStr">
        <is>
          <t>مجموع الدخل (الخسارة) الشامل</t>
        </is>
      </c>
      <c r="C26" t="inlineStr"/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n">
        <v>452753</v>
      </c>
      <c r="H26" t="inlineStr">
        <is>
          <t>-</t>
        </is>
      </c>
      <c r="I26" t="n">
        <v>-1642</v>
      </c>
      <c r="J26" t="n">
        <v>1944</v>
      </c>
      <c r="K26" t="n">
        <v>453055</v>
      </c>
      <c r="L26" t="n">
        <v>120815</v>
      </c>
      <c r="R26" t="inlineStr">
        <is>
          <t>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","")&amp;",")),K$10:K$209))))&lt;=1,TRUE),IF(OR(ISNUMBER(L26),L26="-"),ABS(N(L26)-(IF(ISNUMBER(SEARCH(":",SUBSTITUTE($R26," ",""))),SUM(INDIRECT("L"&amp;LEFT(SUBSTITUTE($R26," ",""),SEARCH(":",SUBSTITUTE($R26," ",""))-1)&amp;":L"&amp;MID(SUBSTITUTE($R26," ",""),SEARCH(":",SUBSTITUTE($R26," ",""))+1,10))),SUMPRODUCT(--ISNUMBER(SEARCH(","&amp;ROW(L$10:L$209)&amp;",",","&amp;SUBSTITUTE($R26," ","")&amp;",")),L$10:L$209)-SUMPRODUCT(--ISNUMBER(SEARCH(",-"&amp;ROW(L$10:L$209)&amp;",",","&amp;SUBSTITUTE($R26," ","")&amp;",")),L$10:L$209))))&lt;=1,TRUE)),"✓","✗"))</f>
        <v/>
      </c>
    </row>
    <row r="27">
      <c r="A27" t="inlineStr">
        <is>
          <t>item</t>
        </is>
      </c>
      <c r="B27" t="inlineStr">
        <is>
          <t>تحويل إعادة قياس منافع ما بعد انتهاء التوظيف (إيضاح 18)</t>
        </is>
      </c>
      <c r="C27" t="inlineStr"/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66</v>
      </c>
      <c r="H27" t="inlineStr">
        <is>
          <t>-</t>
        </is>
      </c>
      <c r="I27" t="n">
        <v>-66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","")&amp;",")),K$10:K$209))))&lt;=1,TRUE),IF(OR(ISNUMBER(L27),L27="-"),ABS(N(L27)-(IF(ISNUMBER(SEARCH(":",SUBSTITUTE($R27," ",""))),SUM(INDIRECT("L"&amp;LEFT(SUBSTITUTE($R27," ",""),SEARCH(":",SUBSTITUTE($R27," ",""))-1)&amp;":L"&amp;MID(SUBSTITUTE($R27," ",""),SEARCH(":",SUBSTITUTE($R27," ",""))+1,10))),SUMPRODUCT(--ISNUMBER(SEARCH(","&amp;ROW(L$10:L$209)&amp;",",","&amp;SUBSTITUTE($R27," ","")&amp;",")),L$10:L$209)-SUMPRODUCT(--ISNUMBER(SEARCH(",-"&amp;ROW(L$10:L$209)&amp;",",","&amp;SUBSTITUTE($R27," ","")&amp;",")),L$10:L$209))))&lt;=1,TRUE)),"✓","✗"))</f>
        <v/>
      </c>
    </row>
    <row r="28">
      <c r="A28" t="inlineStr">
        <is>
          <t>item</t>
        </is>
      </c>
      <c r="B28" t="inlineStr">
        <is>
          <t>تحويل حصة إعادة قياس منافع ما بعد انتهاء التوظيف من مشاريع مشتركة وشركات زميلة (إيضاح 18)</t>
        </is>
      </c>
      <c r="C28" t="inlineStr"/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n">
        <v>90</v>
      </c>
      <c r="H28" t="inlineStr">
        <is>
          <t>-</t>
        </is>
      </c>
      <c r="I28" t="n">
        <v>-90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","")&amp;",")),K$10:K$209))))&lt;=1,TRUE),IF(OR(ISNUMBER(L28),L28="-"),ABS(N(L28)-(IF(ISNUMBER(SEARCH(":",SUBSTITUTE($R28," ",""))),SUM(INDIRECT("L"&amp;LEFT(SUBSTITUTE($R28," ",""),SEARCH(":",SUBSTITUTE($R28," ",""))-1)&amp;":L"&amp;MID(SUBSTITUTE($R28," ",""),SEARCH(":",SUBSTITUTE($R28," ",""))+1,10))),SUMPRODUCT(--ISNUMBER(SEARCH(","&amp;ROW(L$10:L$209)&amp;",",","&amp;SUBSTITUTE($R28," ","")&amp;",")),L$10:L$209)-SUMPRODUCT(--ISNUMBER(SEARCH(",-"&amp;ROW(L$10:L$209)&amp;",",","&amp;SUBSTITUTE($R28," ","")&amp;",")),L$10:L$209))))&lt;=1,TRUE)),"✓","✗"))</f>
        <v/>
      </c>
    </row>
    <row r="29">
      <c r="A29" t="inlineStr">
        <is>
          <t>item</t>
        </is>
      </c>
      <c r="B29" t="inlineStr">
        <is>
          <t>أسهم خزينة مصدرة للموظفين (إيضاح 16)</t>
        </is>
      </c>
      <c r="C29" t="inlineStr"/>
      <c r="D29" t="inlineStr">
        <is>
          <t>-</t>
        </is>
      </c>
      <c r="E29" t="inlineStr">
        <is>
          <t>-</t>
        </is>
      </c>
      <c r="F29" t="n">
        <v>874</v>
      </c>
      <c r="G29" t="n">
        <v>232</v>
      </c>
      <c r="H29" t="inlineStr">
        <is>
          <t>-</t>
        </is>
      </c>
      <c r="I29" t="n">
        <v>-439</v>
      </c>
      <c r="J29" t="inlineStr">
        <is>
          <t>-</t>
        </is>
      </c>
      <c r="K29" t="n">
        <v>667</v>
      </c>
      <c r="L29" t="n">
        <v>178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","")&amp;",")),K$10:K$209))))&lt;=1,TRUE),IF(OR(ISNUMBER(L29),L29="-"),ABS(N(L29)-(IF(ISNUMBER(SEARCH(":",SUBSTITUTE($R29," ",""))),SUM(INDIRECT("L"&amp;LEFT(SUBSTITUTE($R29," ",""),SEARCH(":",SUBSTITUTE($R29," ",""))-1)&amp;":L"&amp;MID(SUBSTITUTE($R29," ",""),SEARCH(":",SUBSTITUTE($R29," ",""))+1,10))),SUMPRODUCT(--ISNUMBER(SEARCH(","&amp;ROW(L$10:L$209)&amp;",",","&amp;SUBSTITUTE($R29," ","")&amp;",")),L$10:L$209)-SUMPRODUCT(--ISNUMBER(SEARCH(",-"&amp;ROW(L$10:L$209)&amp;",",","&amp;SUBSTITUTE($R29," ","")&amp;",")),L$10:L$209))))&lt;=1,TRUE)),"✓","✗"))</f>
        <v/>
      </c>
    </row>
    <row r="30">
      <c r="A30" t="inlineStr">
        <is>
          <t>item</t>
        </is>
      </c>
      <c r="B30" t="inlineStr">
        <is>
          <t>تعويض على أساس السهم</t>
        </is>
      </c>
      <c r="C30" t="inlineStr"/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n">
        <v>-4</v>
      </c>
      <c r="H30" t="inlineStr">
        <is>
          <t>-</t>
        </is>
      </c>
      <c r="I30" t="n">
        <v>472</v>
      </c>
      <c r="J30" t="inlineStr">
        <is>
          <t>-</t>
        </is>
      </c>
      <c r="K30" t="n">
        <v>468</v>
      </c>
      <c r="L30" t="n">
        <v>125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","")&amp;",")),K$10:K$209))))&lt;=1,TRUE),IF(OR(ISNUMBER(L30),L30="-"),ABS(N(L30)-(IF(ISNUMBER(SEARCH(":",SUBSTITUTE($R30," ",""))),SUM(INDIRECT("L"&amp;LEFT(SUBSTITUTE($R30," ",""),SEARCH(":",SUBSTITUTE($R30," ",""))-1)&amp;":L"&amp;MID(SUBSTITUTE($R30," ",""),SEARCH(":",SUBSTITUTE($R30," ",""))+1,10))),SUMPRODUCT(--ISNUMBER(SEARCH(","&amp;ROW(L$10:L$209)&amp;",",","&amp;SUBSTITUTE($R30," ","")&amp;",")),L$10:L$209)-SUMPRODUCT(--ISNUMBER(SEARCH(",-"&amp;ROW(L$10:L$209)&amp;",",","&amp;SUBSTITUTE($R30," ","")&amp;",")),L$10:L$209))))&lt;=1,TRUE)),"✓","✗"))</f>
        <v/>
      </c>
    </row>
    <row r="31">
      <c r="A31" t="inlineStr">
        <is>
          <t>item</t>
        </is>
      </c>
      <c r="B31" t="inlineStr">
        <is>
          <t>توزيعات أرباح (إيضاح 36)</t>
        </is>
      </c>
      <c r="C31" t="inlineStr"/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n">
        <v>-366674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-366674</v>
      </c>
      <c r="L31" t="n">
        <v>-97780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","")&amp;",")),K$10:K$209))))&lt;=1,TRUE),IF(OR(ISNUMBER(L31),L31="-"),ABS(N(L31)-(IF(ISNUMBER(SEARCH(":",SUBSTITUTE($R31," ",""))),SUM(INDIRECT("L"&amp;LEFT(SUBSTITUTE($R31," ",""),SEARCH(":",SUBSTITUTE($R31," ",""))-1)&amp;":L"&amp;MID(SUBSTITUTE($R31," ",""),SEARCH(":",SUBSTITUTE($R31," ",""))+1,10))),SUMPRODUCT(--ISNUMBER(SEARCH(","&amp;ROW(L$10:L$209)&amp;",",","&amp;SUBSTITUTE($R31," ","")&amp;",")),L$10:L$209)-SUMPRODUCT(--ISNUMBER(SEARCH(",-"&amp;ROW(L$10:L$209)&amp;",",","&amp;SUBSTITUTE($R31," ","")&amp;",")),L$10:L$209))))&lt;=1,TRUE)),"✓","✗"))</f>
        <v/>
      </c>
    </row>
    <row r="32">
      <c r="A32" t="inlineStr">
        <is>
          <t>item</t>
        </is>
      </c>
      <c r="B32" t="inlineStr">
        <is>
          <t>أسهم مجانية مصدرة (إيضاح 36)</t>
        </is>
      </c>
      <c r="C32" t="inlineStr"/>
      <c r="D32" t="n">
        <v>15000</v>
      </c>
      <c r="E32" t="inlineStr">
        <is>
          <t>-</t>
        </is>
      </c>
      <c r="F32" t="inlineStr">
        <is>
          <t>-</t>
        </is>
      </c>
      <c r="G32" t="n">
        <v>-15000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","")&amp;",")),K$10:K$209))))&lt;=1,TRUE),IF(OR(ISNUMBER(L32),L32="-"),ABS(N(L32)-(IF(ISNUMBER(SEARCH(":",SUBSTITUTE($R32," ",""))),SUM(INDIRECT("L"&amp;LEFT(SUBSTITUTE($R32," ",""),SEARCH(":",SUBSTITUTE($R32," ",""))-1)&amp;":L"&amp;MID(SUBSTITUTE($R32," ",""),SEARCH(":",SUBSTITUTE($R32," ",""))+1,10))),SUMPRODUCT(--ISNUMBER(SEARCH(","&amp;ROW(L$10:L$209)&amp;",",","&amp;SUBSTITUTE($R32," ","")&amp;",")),L$10:L$209)-SUMPRODUCT(--ISNUMBER(SEARCH(",-"&amp;ROW(L$10:L$209)&amp;",",","&amp;SUBSTITUTE($R32," ","")&amp;",")),L$10:L$209))))&lt;=1,TRUE)),"✓","✗"))</f>
        <v/>
      </c>
    </row>
    <row r="33">
      <c r="A33" t="inlineStr">
        <is>
          <t>item</t>
        </is>
      </c>
      <c r="B33" t="inlineStr">
        <is>
          <t>توزيعات أرباح إلى حصص غير مسيطرة وأخرى</t>
        </is>
      </c>
      <c r="C33" t="inlineStr"/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119</v>
      </c>
      <c r="H33" t="inlineStr">
        <is>
          <t>-</t>
        </is>
      </c>
      <c r="I33" t="inlineStr">
        <is>
          <t>-</t>
        </is>
      </c>
      <c r="J33" t="n">
        <v>-16690</v>
      </c>
      <c r="K33" t="n">
        <v>-16571</v>
      </c>
      <c r="L33" t="n">
        <v>-4419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","")&amp;",")),K$10:K$209))))&lt;=1,TRUE),IF(OR(ISNUMBER(L33),L33="-"),ABS(N(L33)-(IF(ISNUMBER(SEARCH(":",SUBSTITUTE($R33," ",""))),SUM(INDIRECT("L"&amp;LEFT(SUBSTITUTE($R33," ",""),SEARCH(":",SUBSTITUTE($R33," ",""))-1)&amp;":L"&amp;MID(SUBSTITUTE($R33," ",""),SEARCH(":",SUBSTITUTE($R33," ",""))+1,10))),SUMPRODUCT(--ISNUMBER(SEARCH(","&amp;ROW(L$10:L$209)&amp;",",","&amp;SUBSTITUTE($R33," ","")&amp;",")),L$10:L$209)-SUMPRODUCT(--ISNUMBER(SEARCH(",-"&amp;ROW(L$10:L$209)&amp;",",","&amp;SUBSTITUTE($R33," ","")&amp;",")),L$10:L$209))))&lt;=1,TRUE)),"✓","✗"))</f>
        <v/>
      </c>
    </row>
    <row r="34">
      <c r="A34" t="inlineStr">
        <is>
          <t>total</t>
        </is>
      </c>
      <c r="B34" t="inlineStr">
        <is>
          <t>الرصيد في 31 ديسمبر 2023</t>
        </is>
      </c>
      <c r="C34" t="inlineStr"/>
      <c r="D34" t="n">
        <v>90000</v>
      </c>
      <c r="E34" t="n">
        <v>26981</v>
      </c>
      <c r="F34" t="n">
        <v>-1362</v>
      </c>
      <c r="G34" t="n">
        <v>1411474</v>
      </c>
      <c r="H34" t="n">
        <v>6000</v>
      </c>
      <c r="I34" t="n">
        <v>1514</v>
      </c>
      <c r="J34" t="n">
        <v>202485</v>
      </c>
      <c r="K34" t="n">
        <v>1737092</v>
      </c>
      <c r="L34" t="n">
        <v>463225</v>
      </c>
      <c r="R34" t="inlineStr">
        <is>
          <t>23,26,27,28,29,30,31,32,33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","")&amp;",")),K$10:K$209))))&lt;=1,TRUE),IF(OR(ISNUMBER(L34),L34="-"),ABS(N(L34)-(IF(ISNUMBER(SEARCH(":",SUBSTITUTE($R34," ",""))),SUM(INDIRECT("L"&amp;LEFT(SUBSTITUTE($R34," ",""),SEARCH(":",SUBSTITUTE($R34," ",""))-1)&amp;":L"&amp;MID(SUBSTITUTE($R34," ",""),SEARCH(":",SUBSTITUTE($R34," ",""))+1,10))),SUMPRODUCT(--ISNUMBER(SEARCH(","&amp;ROW(L$10:L$209)&amp;",",","&amp;SUBSTITUTE($R34," ","")&amp;",")),L$10:L$209)-SUMPRODUCT(--ISNUMBER(SEARCH(",-"&amp;ROW(L$10:L$209)&amp;",",","&amp;SUBSTITUTE($R34," ","")&amp;",")),L$10:L$209))))&lt;=1,TRUE)),"✓","✗"))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","")&amp;",")),K$10:K$209))))&lt;=1,TRUE),IF(OR(ISNUMBER(L35),L35="-"),ABS(N(L35)-(IF(ISNUMBER(SEARCH(":",SUBSTITUTE($R35," ",""))),SUM(INDIRECT("L"&amp;LEFT(SUBSTITUTE($R35," ",""),SEARCH(":",SUBSTITUTE($R35," ",""))-1)&amp;":L"&amp;MID(SUBSTITUTE($R35," ",""),SEARCH(":",SUBSTITUTE($R35," ",""))+1,10))),SUMPRODUCT(--ISNUMBER(SEARCH(","&amp;ROW(L$10:L$209)&amp;",",","&amp;SUBSTITUTE($R35," ","")&amp;",")),L$10:L$209)-SUMPRODUCT(--ISNUMBER(SEARCH(",-"&amp;ROW(L$10:L$209)&amp;",",","&amp;SUBSTITUTE($R35," ","")&amp;",")),L$10:L$209))))&lt;=1,TRUE)),"✓","✗"))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","")&amp;",")),K$10:K$209))))&lt;=1,TRUE),IF(OR(ISNUMBER(L36),L36="-"),ABS(N(L36)-(IF(ISNUMBER(SEARCH(":",SUBSTITUTE($R36," ",""))),SUM(INDIRECT("L"&amp;LEFT(SUBSTITUTE($R36," ",""),SEARCH(":",SUBSTITUTE($R36," ",""))-1)&amp;":L"&amp;MID(SUBSTITUTE($R36," ",""),SEARCH(":",SUBSTITUTE($R36," ",""))+1,10))),SUMPRODUCT(--ISNUMBER(SEARCH(","&amp;ROW(L$10:L$209)&amp;",",","&amp;SUBSTITUTE($R36," ","")&amp;",")),L$10:L$209)-SUMPRODUCT(--ISNUMBER(SEARCH(",-"&amp;ROW(L$10:L$209)&amp;",",","&amp;SUBSTITUTE($R36," ","")&amp;",")),L$10:L$209))))&lt;=1,TRUE)),"✓","✗"))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","")&amp;",")),K$10:K$209))))&lt;=1,TRUE),IF(OR(ISNUMBER(L37),L37="-"),ABS(N(L37)-(IF(ISNUMBER(SEARCH(":",SUBSTITUTE($R37," ",""))),SUM(INDIRECT("L"&amp;LEFT(SUBSTITUTE($R37," ",""),SEARCH(":",SUBSTITUTE($R37," ",""))-1)&amp;":L"&amp;MID(SUBSTITUTE($R37," ",""),SEARCH(":",SUBSTITUTE($R37," ",""))+1,10))),SUMPRODUCT(--ISNUMBER(SEARCH(","&amp;ROW(L$10:L$209)&amp;",",","&amp;SUBSTITUTE($R37," ","")&amp;",")),L$10:L$209)-SUMPRODUCT(--ISNUMBER(SEARCH(",-"&amp;ROW(L$10:L$209)&amp;",",","&amp;SUBSTITUTE($R37," ","")&amp;",")),L$10:L$209))))&lt;=1,TRUE)),"✓","✗"))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","")&amp;",")),K$10:K$209))))&lt;=1,TRUE),IF(OR(ISNUMBER(L38),L38="-"),ABS(N(L38)-(IF(ISNUMBER(SEARCH(":",SUBSTITUTE($R38," ",""))),SUM(INDIRECT("L"&amp;LEFT(SUBSTITUTE($R38," ",""),SEARCH(":",SUBSTITUTE($R38," ",""))-1)&amp;":L"&amp;MID(SUBSTITUTE($R38," ",""),SEARCH(":",SUBSTITUTE($R38," ",""))+1,10))),SUMPRODUCT(--ISNUMBER(SEARCH(","&amp;ROW(L$10:L$209)&amp;",",","&amp;SUBSTITUTE($R38," ","")&amp;",")),L$10:L$209)-SUMPRODUCT(--ISNUMBER(SEARCH(",-"&amp;ROW(L$10:L$209)&amp;",",","&amp;SUBSTITUTE($R38," ","")&amp;",")),L$10:L$209))))&lt;=1,TRUE)),"✓","✗"))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","")&amp;",")),K$10:K$209))))&lt;=1,TRUE),IF(OR(ISNUMBER(L39),L39="-"),ABS(N(L39)-(IF(ISNUMBER(SEARCH(":",SUBSTITUTE($R39," ",""))),SUM(INDIRECT("L"&amp;LEFT(SUBSTITUTE($R39," ",""),SEARCH(":",SUBSTITUTE($R39," ",""))-1)&amp;":L"&amp;MID(SUBSTITUTE($R39," ",""),SEARCH(":",SUBSTITUTE($R39," ",""))+1,10))),SUMPRODUCT(--ISNUMBER(SEARCH(","&amp;ROW(L$10:L$209)&amp;",",","&amp;SUBSTITUTE($R39," ","")&amp;",")),L$10:L$209)-SUMPRODUCT(--ISNUMBER(SEARCH(",-"&amp;ROW(L$10:L$209)&amp;",",","&amp;SUBSTITUTE($R39," ","")&amp;",")),L$10:L$209))))&lt;=1,TRUE)),"✓","✗"))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","")&amp;",")),K$10:K$209))))&lt;=1,TRUE),IF(OR(ISNUMBER(L40),L40="-"),ABS(N(L40)-(IF(ISNUMBER(SEARCH(":",SUBSTITUTE($R40," ",""))),SUM(INDIRECT("L"&amp;LEFT(SUBSTITUTE($R40," ",""),SEARCH(":",SUBSTITUTE($R40," ",""))-1)&amp;":L"&amp;MID(SUBSTITUTE($R40," ",""),SEARCH(":",SUBSTITUTE($R40," ",""))+1,10))),SUMPRODUCT(--ISNUMBER(SEARCH(","&amp;ROW(L$10:L$209)&amp;",",","&amp;SUBSTITUTE($R40," ","")&amp;",")),L$10:L$209)-SUMPRODUCT(--ISNUMBER(SEARCH(",-"&amp;ROW(L$10:L$209)&amp;",",","&amp;SUBSTITUTE($R40," ","")&amp;",")),L$10:L$209))))&lt;=1,TRUE)),"✓","✗"))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","")&amp;",")),K$10:K$209))))&lt;=1,TRUE),IF(OR(ISNUMBER(L41),L41="-"),ABS(N(L41)-(IF(ISNUMBER(SEARCH(":",SUBSTITUTE($R41," ",""))),SUM(INDIRECT("L"&amp;LEFT(SUBSTITUTE($R41," ",""),SEARCH(":",SUBSTITUTE($R41," ",""))-1)&amp;":L"&amp;MID(SUBSTITUTE($R41," ",""),SEARCH(":",SUBSTITUTE($R41," ",""))+1,10))),SUMPRODUCT(--ISNUMBER(SEARCH(","&amp;ROW(L$10:L$209)&amp;",",","&amp;SUBSTITUTE($R41," ","")&amp;",")),L$10:L$209)-SUMPRODUCT(--ISNUMBER(SEARCH(",-"&amp;ROW(L$10:L$209)&amp;",",","&amp;SUBSTITUTE($R41," ","")&amp;",")),L$10:L$209))))&lt;=1,TRUE)),"✓","✗"))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","")&amp;",")),K$10:K$209))))&lt;=1,TRUE),IF(OR(ISNUMBER(L43),L43="-"),ABS(N(L43)-(IF(ISNUMBER(SEARCH(":",SUBSTITUTE($R43," ",""))),SUM(INDIRECT("L"&amp;LEFT(SUBSTITUTE($R43," ",""),SEARCH(":",SUBSTITUTE($R43," ",""))-1)&amp;":L"&amp;MID(SUBSTITUTE($R43," ",""),SEARCH(":",SUBSTITUTE($R43," ",""))+1,10))),SUMPRODUCT(--ISNUMBER(SEARCH(","&amp;ROW(L$10:L$209)&amp;",",","&amp;SUBSTITUTE($R43," ","")&amp;",")),L$10:L$209)-SUMPRODUCT(--ISNUMBER(SEARCH(",-"&amp;ROW(L$10:L$209)&amp;",",","&amp;SUBSTITUTE($R43," ","")&amp;",")),L$10:L$209))))&lt;=1,TRUE)),"✓","✗"))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","")&amp;",")),K$10:K$209))))&lt;=1,TRUE),IF(OR(ISNUMBER(L44),L44="-"),ABS(N(L44)-(IF(ISNUMBER(SEARCH(":",SUBSTITUTE($R44," ",""))),SUM(INDIRECT("L"&amp;LEFT(SUBSTITUTE($R44," ",""),SEARCH(":",SUBSTITUTE($R44," ",""))-1)&amp;":L"&amp;MID(SUBSTITUTE($R44," ",""),SEARCH(":",SUBSTITUTE($R44," ",""))+1,10))),SUMPRODUCT(--ISNUMBER(SEARCH(","&amp;ROW(L$10:L$209)&amp;",",","&amp;SUBSTITUTE($R44," ","")&amp;",")),L$10:L$209)-SUMPRODUCT(--ISNUMBER(SEARCH(",-"&amp;ROW(L$10:L$209)&amp;",",","&amp;SUBSTITUTE($R44," ","")&amp;",")),L$10:L$209))))&lt;=1,TRUE)),"✓","✗"))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","")&amp;",")),K$10:K$209))))&lt;=1,TRUE),IF(OR(ISNUMBER(L45),L45="-"),ABS(N(L45)-(IF(ISNUMBER(SEARCH(":",SUBSTITUTE($R45," ",""))),SUM(INDIRECT("L"&amp;LEFT(SUBSTITUTE($R45," ",""),SEARCH(":",SUBSTITUTE($R45," ",""))-1)&amp;":L"&amp;MID(SUBSTITUTE($R45," ",""),SEARCH(":",SUBSTITUTE($R45," ",""))+1,10))),SUMPRODUCT(--ISNUMBER(SEARCH(","&amp;ROW(L$10:L$209)&amp;",",","&amp;SUBSTITUTE($R45," ","")&amp;",")),L$10:L$209)-SUMPRODUCT(--ISNUMBER(SEARCH(",-"&amp;ROW(L$10:L$209)&amp;",",","&amp;SUBSTITUTE($R45," ","")&amp;",")),L$10:L$209))))&lt;=1,TRUE)),"✓","✗"))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","")&amp;",")),K$10:K$209))))&lt;=1,TRUE),IF(OR(ISNUMBER(L46),L46="-"),ABS(N(L46)-(IF(ISNUMBER(SEARCH(":",SUBSTITUTE($R46," ",""))),SUM(INDIRECT("L"&amp;LEFT(SUBSTITUTE($R46," ",""),SEARCH(":",SUBSTITUTE($R46," ",""))-1)&amp;":L"&amp;MID(SUBSTITUTE($R46," ",""),SEARCH(":",SUBSTITUTE($R46," ",""))+1,10))),SUMPRODUCT(--ISNUMBER(SEARCH(","&amp;ROW(L$10:L$209)&amp;",",","&amp;SUBSTITUTE($R46," ","")&amp;",")),L$10:L$209)-SUMPRODUCT(--ISNUMBER(SEARCH(",-"&amp;ROW(L$10:L$209)&amp;",",","&amp;SUBSTITUTE($R46," ","")&amp;",")),L$10:L$209))))&lt;=1,TRUE)),"✓","✗"))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","")&amp;",")),K$10:K$209))))&lt;=1,TRUE),IF(OR(ISNUMBER(L47),L47="-"),ABS(N(L47)-(IF(ISNUMBER(SEARCH(":",SUBSTITUTE($R47," ",""))),SUM(INDIRECT("L"&amp;LEFT(SUBSTITUTE($R47," ",""),SEARCH(":",SUBSTITUTE($R47," ",""))-1)&amp;":L"&amp;MID(SUBSTITUTE($R47," ",""),SEARCH(":",SUBSTITUTE($R47," ",""))+1,10))),SUMPRODUCT(--ISNUMBER(SEARCH(","&amp;ROW(L$10:L$209)&amp;",",","&amp;SUBSTITUTE($R47," ","")&amp;",")),L$10:L$209)-SUMPRODUCT(--ISNUMBER(SEARCH(",-"&amp;ROW(L$10:L$209)&amp;",",","&amp;SUBSTITUTE($R47," ","")&amp;",")),L$10:L$209))))&lt;=1,TRUE)),"✓","✗"))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","")&amp;",")),K$10:K$209))))&lt;=1,TRUE),IF(OR(ISNUMBER(L48),L48="-"),ABS(N(L48)-(IF(ISNUMBER(SEARCH(":",SUBSTITUTE($R48," ",""))),SUM(INDIRECT("L"&amp;LEFT(SUBSTITUTE($R48," ",""),SEARCH(":",SUBSTITUTE($R48," ",""))-1)&amp;":L"&amp;MID(SUBSTITUTE($R48," ",""),SEARCH(":",SUBSTITUTE($R48," ",""))+1,10))),SUMPRODUCT(--ISNUMBER(SEARCH(","&amp;ROW(L$10:L$209)&amp;",",","&amp;SUBSTITUTE($R48," ","")&amp;",")),L$10:L$209)-SUMPRODUCT(--ISNUMBER(SEARCH(",-"&amp;ROW(L$10:L$209)&amp;",",","&amp;SUBSTITUTE($R48," ","")&amp;",")),L$10:L$209))))&lt;=1,TRUE)),"✓","✗"))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","")&amp;",")),K$10:K$209))))&lt;=1,TRUE),IF(OR(ISNUMBER(L49),L49="-"),ABS(N(L49)-(IF(ISNUMBER(SEARCH(":",SUBSTITUTE($R49," ",""))),SUM(INDIRECT("L"&amp;LEFT(SUBSTITUTE($R49," ",""),SEARCH(":",SUBSTITUTE($R49," ",""))-1)&amp;":L"&amp;MID(SUBSTITUTE($R49," ",""),SEARCH(":",SUBSTITUTE($R49," ",""))+1,10))),SUMPRODUCT(--ISNUMBER(SEARCH(","&amp;ROW(L$10:L$209)&amp;",",","&amp;SUBSTITUTE($R49," ","")&amp;",")),L$10:L$209)-SUMPRODUCT(--ISNUMBER(SEARCH(",-"&amp;ROW(L$10:L$209)&amp;",",","&amp;SUBSTITUTE($R49," ","")&amp;",")),L$10:L$209))))&lt;=1,TRUE)),"✓","✗"))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","")&amp;",")),K$10:K$209))))&lt;=1,TRUE),IF(OR(ISNUMBER(L50),L50="-"),ABS(N(L50)-(IF(ISNUMBER(SEARCH(":",SUBSTITUTE($R50," ",""))),SUM(INDIRECT("L"&amp;LEFT(SUBSTITUTE($R50," ",""),SEARCH(":",SUBSTITUTE($R50," ",""))-1)&amp;":L"&amp;MID(SUBSTITUTE($R50," ",""),SEARCH(":",SUBSTITUTE($R50," ",""))+1,10))),SUMPRODUCT(--ISNUMBER(SEARCH(","&amp;ROW(L$10:L$209)&amp;",",","&amp;SUBSTITUTE($R50," ","")&amp;",")),L$10:L$209)-SUMPRODUCT(--ISNUMBER(SEARCH(",-"&amp;ROW(L$10:L$209)&amp;",",","&amp;SUBSTITUTE($R50," ","")&amp;",")),L$10:L$209))))&lt;=1,TRUE)),"✓","✗"))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","")&amp;",")),K$10:K$209))))&lt;=1,TRUE),IF(OR(ISNUMBER(L51),L51="-"),ABS(N(L51)-(IF(ISNUMBER(SEARCH(":",SUBSTITUTE($R51," ",""))),SUM(INDIRECT("L"&amp;LEFT(SUBSTITUTE($R51," ",""),SEARCH(":",SUBSTITUTE($R51," ",""))-1)&amp;":L"&amp;MID(SUBSTITUTE($R51," ",""),SEARCH(":",SUBSTITUTE($R51," ",""))+1,10))),SUMPRODUCT(--ISNUMBER(SEARCH(","&amp;ROW(L$10:L$209)&amp;",",","&amp;SUBSTITUTE($R51," ","")&amp;",")),L$10:L$209)-SUMPRODUCT(--ISNUMBER(SEARCH(",-"&amp;ROW(L$10:L$209)&amp;",",","&amp;SUBSTITUTE($R51," ","")&amp;",")),L$10:L$209))))&lt;=1,TRUE)),"✓","✗"))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","")&amp;",")),K$10:K$209))))&lt;=1,TRUE),IF(OR(ISNUMBER(L52),L52="-"),ABS(N(L52)-(IF(ISNUMBER(SEARCH(":",SUBSTITUTE($R52," ",""))),SUM(INDIRECT("L"&amp;LEFT(SUBSTITUTE($R52," ",""),SEARCH(":",SUBSTITUTE($R52," ",""))-1)&amp;":L"&amp;MID(SUBSTITUTE($R52," ",""),SEARCH(":",SUBSTITUTE($R52," ",""))+1,10))),SUMPRODUCT(--ISNUMBER(SEARCH(","&amp;ROW(L$10:L$209)&amp;",",","&amp;SUBSTITUTE($R52," ","")&amp;",")),L$10:L$209)-SUMPRODUCT(--ISNUMBER(SEARCH(",-"&amp;ROW(L$10:L$209)&amp;",",","&amp;SUBSTITUTE($R52," ","")&amp;",")),L$10:L$209))))&lt;=1,TRUE)),"✓","✗"))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","")&amp;",")),K$10:K$209))))&lt;=1,TRUE),IF(OR(ISNUMBER(L53),L53="-"),ABS(N(L53)-(IF(ISNUMBER(SEARCH(":",SUBSTITUTE($R53," ",""))),SUM(INDIRECT("L"&amp;LEFT(SUBSTITUTE($R53," ",""),SEARCH(":",SUBSTITUTE($R53," ",""))-1)&amp;":L"&amp;MID(SUBSTITUTE($R53," ",""),SEARCH(":",SUBSTITUTE($R53," ",""))+1,10))),SUMPRODUCT(--ISNUMBER(SEARCH(","&amp;ROW(L$10:L$209)&amp;",",","&amp;SUBSTITUTE($R53," ","")&amp;",")),L$10:L$209)-SUMPRODUCT(--ISNUMBER(SEARCH(",-"&amp;ROW(L$10:L$209)&amp;",",","&amp;SUBSTITUTE($R53," ","")&amp;",")),L$10:L$209))))&lt;=1,TRUE)),"✓","✗"))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","")&amp;",")),K$10:K$209))))&lt;=1,TRUE),IF(OR(ISNUMBER(L54),L54="-"),ABS(N(L54)-(IF(ISNUMBER(SEARCH(":",SUBSTITUTE($R54," ",""))),SUM(INDIRECT("L"&amp;LEFT(SUBSTITUTE($R54," ",""),SEARCH(":",SUBSTITUTE($R54," ",""))-1)&amp;":L"&amp;MID(SUBSTITUTE($R54," ",""),SEARCH(":",SUBSTITUTE($R54," ",""))+1,10))),SUMPRODUCT(--ISNUMBER(SEARCH(","&amp;ROW(L$10:L$209)&amp;",",","&amp;SUBSTITUTE($R54," ","")&amp;",")),L$10:L$209)-SUMPRODUCT(--ISNUMBER(SEARCH(",-"&amp;ROW(L$10:L$209)&amp;",",","&amp;SUBSTITUTE($R54," ","")&amp;",")),L$10:L$209))))&lt;=1,TRUE)),"✓","✗"))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","")&amp;",")),K$10:K$209))))&lt;=1,TRUE),IF(OR(ISNUMBER(L55),L55="-"),ABS(N(L55)-(IF(ISNUMBER(SEARCH(":",SUBSTITUTE($R55," ",""))),SUM(INDIRECT("L"&amp;LEFT(SUBSTITUTE($R55," ",""),SEARCH(":",SUBSTITUTE($R55," ",""))-1)&amp;":L"&amp;MID(SUBSTITUTE($R55," ",""),SEARCH(":",SUBSTITUTE($R55," ",""))+1,10))),SUMPRODUCT(--ISNUMBER(SEARCH(","&amp;ROW(L$10:L$209)&amp;",",","&amp;SUBSTITUTE($R55," ","")&amp;",")),L$10:L$209)-SUMPRODUCT(--ISNUMBER(SEARCH(",-"&amp;ROW(L$10:L$209)&amp;",",","&amp;SUBSTITUTE($R55," ","")&amp;",")),L$10:L$209))))&lt;=1,TRUE)),"✓","✗"))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","")&amp;",")),K$10:K$209))))&lt;=1,TRUE),IF(OR(ISNUMBER(L56),L56="-"),ABS(N(L56)-(IF(ISNUMBER(SEARCH(":",SUBSTITUTE($R56," ",""))),SUM(INDIRECT("L"&amp;LEFT(SUBSTITUTE($R56," ",""),SEARCH(":",SUBSTITUTE($R56," ",""))-1)&amp;":L"&amp;MID(SUBSTITUTE($R56," ",""),SEARCH(":",SUBSTITUTE($R56," ",""))+1,10))),SUMPRODUCT(--ISNUMBER(SEARCH(","&amp;ROW(L$10:L$209)&amp;",",","&amp;SUBSTITUTE($R56," ","")&amp;",")),L$10:L$209)-SUMPRODUCT(--ISNUMBER(SEARCH(",-"&amp;ROW(L$10:L$209)&amp;",",","&amp;SUBSTITUTE($R56," ","")&amp;",")),L$10:L$209))))&lt;=1,TRUE)),"✓","✗"))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","")&amp;",")),K$10:K$209))))&lt;=1,TRUE),IF(OR(ISNUMBER(L57),L57="-"),ABS(N(L57)-(IF(ISNUMBER(SEARCH(":",SUBSTITUTE($R57," ",""))),SUM(INDIRECT("L"&amp;LEFT(SUBSTITUTE($R57," ",""),SEARCH(":",SUBSTITUTE($R57," ",""))-1)&amp;":L"&amp;MID(SUBSTITUTE($R57," ",""),SEARCH(":",SUBSTITUTE($R57," ",""))+1,10))),SUMPRODUCT(--ISNUMBER(SEARCH(","&amp;ROW(L$10:L$209)&amp;",",","&amp;SUBSTITUTE($R57," ","")&amp;",")),L$10:L$209)-SUMPRODUCT(--ISNUMBER(SEARCH(",-"&amp;ROW(L$10:L$209)&amp;",",","&amp;SUBSTITUTE($R57," ","")&amp;",")),L$10:L$209))))&lt;=1,TRUE)),"✓","✗"))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","")&amp;",")),K$10:K$209))))&lt;=1,TRUE),IF(OR(ISNUMBER(L58),L58="-"),ABS(N(L58)-(IF(ISNUMBER(SEARCH(":",SUBSTITUTE($R58," ",""))),SUM(INDIRECT("L"&amp;LEFT(SUBSTITUTE($R58," ",""),SEARCH(":",SUBSTITUTE($R58," ",""))-1)&amp;":L"&amp;MID(SUBSTITUTE($R58," ",""),SEARCH(":",SUBSTITUTE($R58," ",""))+1,10))),SUMPRODUCT(--ISNUMBER(SEARCH(","&amp;ROW(L$10:L$209)&amp;",",","&amp;SUBSTITUTE($R58," ","")&amp;",")),L$10:L$209)-SUMPRODUCT(--ISNUMBER(SEARCH(",-"&amp;ROW(L$10:L$209)&amp;",",","&amp;SUBSTITUTE($R58," ","")&amp;",")),L$10:L$209))))&lt;=1,TRUE)),"✓","✗"))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","")&amp;",")),K$10:K$209))))&lt;=1,TRUE),IF(OR(ISNUMBER(L59),L59="-"),ABS(N(L59)-(IF(ISNUMBER(SEARCH(":",SUBSTITUTE($R59," ",""))),SUM(INDIRECT("L"&amp;LEFT(SUBSTITUTE($R59," ",""),SEARCH(":",SUBSTITUTE($R59," ",""))-1)&amp;":L"&amp;MID(SUBSTITUTE($R59," ",""),SEARCH(":",SUBSTITUTE($R59," ",""))+1,10))),SUMPRODUCT(--ISNUMBER(SEARCH(","&amp;ROW(L$10:L$209)&amp;",",","&amp;SUBSTITUTE($R59," ","")&amp;",")),L$10:L$209)-SUMPRODUCT(--ISNUMBER(SEARCH(",-"&amp;ROW(L$10:L$209)&amp;",",","&amp;SUBSTITUTE($R59," ","")&amp;",")),L$10:L$209))))&lt;=1,TRUE)),"✓","✗"))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","")&amp;",")),K$10:K$209))))&lt;=1,TRUE),IF(OR(ISNUMBER(L60),L60="-"),ABS(N(L60)-(IF(ISNUMBER(SEARCH(":",SUBSTITUTE($R60," ",""))),SUM(INDIRECT("L"&amp;LEFT(SUBSTITUTE($R60," ",""),SEARCH(":",SUBSTITUTE($R60," ",""))-1)&amp;":L"&amp;MID(SUBSTITUTE($R60," ",""),SEARCH(":",SUBSTITUTE($R60," ",""))+1,10))),SUMPRODUCT(--ISNUMBER(SEARCH(","&amp;ROW(L$10:L$209)&amp;",",","&amp;SUBSTITUTE($R60," ","")&amp;",")),L$10:L$209)-SUMPRODUCT(--ISNUMBER(SEARCH(",-"&amp;ROW(L$10:L$209)&amp;",",","&amp;SUBSTITUTE($R60," ","")&amp;",")),L$10:L$209))))&lt;=1,TRUE)),"✓","✗"))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","")&amp;",")),K$10:K$209))))&lt;=1,TRUE),IF(OR(ISNUMBER(L61),L61="-"),ABS(N(L61)-(IF(ISNUMBER(SEARCH(":",SUBSTITUTE($R61," ",""))),SUM(INDIRECT("L"&amp;LEFT(SUBSTITUTE($R61," ",""),SEARCH(":",SUBSTITUTE($R61," ",""))-1)&amp;":L"&amp;MID(SUBSTITUTE($R61," ",""),SEARCH(":",SUBSTITUTE($R61," ",""))+1,10))),SUMPRODUCT(--ISNUMBER(SEARCH(","&amp;ROW(L$10:L$209)&amp;",",","&amp;SUBSTITUTE($R61," ","")&amp;",")),L$10:L$209)-SUMPRODUCT(--ISNUMBER(SEARCH(",-"&amp;ROW(L$10:L$209)&amp;",",","&amp;SUBSTITUTE($R61," ","")&amp;",")),L$10:L$209))))&lt;=1,TRUE)),"✓","✗"))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","")&amp;",")),K$10:K$209))))&lt;=1,TRUE),IF(OR(ISNUMBER(L62),L62="-"),ABS(N(L62)-(IF(ISNUMBER(SEARCH(":",SUBSTITUTE($R62," ",""))),SUM(INDIRECT("L"&amp;LEFT(SUBSTITUTE($R62," ",""),SEARCH(":",SUBSTITUTE($R62," ",""))-1)&amp;":L"&amp;MID(SUBSTITUTE($R62," ",""),SEARCH(":",SUBSTITUTE($R62," ",""))+1,10))),SUMPRODUCT(--ISNUMBER(SEARCH(","&amp;ROW(L$10:L$209)&amp;",",","&amp;SUBSTITUTE($R62," ","")&amp;",")),L$10:L$209)-SUMPRODUCT(--ISNUMBER(SEARCH(",-"&amp;ROW(L$10:L$209)&amp;",",","&amp;SUBSTITUTE($R62," ","")&amp;",")),L$10:L$209))))&lt;=1,TRUE)),"✓","✗"))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","")&amp;",")),K$10:K$209))))&lt;=1,TRUE),IF(OR(ISNUMBER(L63),L63="-"),ABS(N(L63)-(IF(ISNUMBER(SEARCH(":",SUBSTITUTE($R63," ",""))),SUM(INDIRECT("L"&amp;LEFT(SUBSTITUTE($R63," ",""),SEARCH(":",SUBSTITUTE($R63," ",""))-1)&amp;":L"&amp;MID(SUBSTITUTE($R63," ",""),SEARCH(":",SUBSTITUTE($R63," ",""))+1,10))),SUMPRODUCT(--ISNUMBER(SEARCH(","&amp;ROW(L$10:L$209)&amp;",",","&amp;SUBSTITUTE($R63," ","")&amp;",")),L$10:L$209)-SUMPRODUCT(--ISNUMBER(SEARCH(",-"&amp;ROW(L$10:L$209)&amp;",",","&amp;SUBSTITUTE($R63," ","")&amp;",")),L$10:L$209))))&lt;=1,TRUE)),"✓","✗"))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","")&amp;",")),K$10:K$209))))&lt;=1,TRUE),IF(OR(ISNUMBER(L64),L64="-"),ABS(N(L64)-(IF(ISNUMBER(SEARCH(":",SUBSTITUTE($R64," ",""))),SUM(INDIRECT("L"&amp;LEFT(SUBSTITUTE($R64," ",""),SEARCH(":",SUBSTITUTE($R64," ",""))-1)&amp;":L"&amp;MID(SUBSTITUTE($R64," ",""),SEARCH(":",SUBSTITUTE($R64," ",""))+1,10))),SUMPRODUCT(--ISNUMBER(SEARCH(","&amp;ROW(L$10:L$209)&amp;",",","&amp;SUBSTITUTE($R64," ","")&amp;",")),L$10:L$209)-SUMPRODUCT(--ISNUMBER(SEARCH(",-"&amp;ROW(L$10:L$209)&amp;",",","&amp;SUBSTITUTE($R64," ","")&amp;",")),L$10:L$209))))&lt;=1,TRUE)),"✓","✗"))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","")&amp;",")),K$10:K$209))))&lt;=1,TRUE),IF(OR(ISNUMBER(L65),L65="-"),ABS(N(L65)-(IF(ISNUMBER(SEARCH(":",SUBSTITUTE($R65," ",""))),SUM(INDIRECT("L"&amp;LEFT(SUBSTITUTE($R65," ",""),SEARCH(":",SUBSTITUTE($R65," ",""))-1)&amp;":L"&amp;MID(SUBSTITUTE($R65," ",""),SEARCH(":",SUBSTITUTE($R65," ",""))+1,10))),SUMPRODUCT(--ISNUMBER(SEARCH(","&amp;ROW(L$10:L$209)&amp;",",","&amp;SUBSTITUTE($R65," ","")&amp;",")),L$10:L$209)-SUMPRODUCT(--ISNUMBER(SEARCH(",-"&amp;ROW(L$10:L$209)&amp;",",","&amp;SUBSTITUTE($R65," ","")&amp;",")),L$10:L$209))))&lt;=1,TRUE)),"✓","✗"))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","")&amp;",")),K$10:K$209))))&lt;=1,TRUE),IF(OR(ISNUMBER(L66),L66="-"),ABS(N(L66)-(IF(ISNUMBER(SEARCH(":",SUBSTITUTE($R66," ",""))),SUM(INDIRECT("L"&amp;LEFT(SUBSTITUTE($R66," ",""),SEARCH(":",SUBSTITUTE($R66," ",""))-1)&amp;":L"&amp;MID(SUBSTITUTE($R66," ",""),SEARCH(":",SUBSTITUTE($R66," ",""))+1,10))),SUMPRODUCT(--ISNUMBER(SEARCH(","&amp;ROW(L$10:L$209)&amp;",",","&amp;SUBSTITUTE($R66," ","")&amp;",")),L$10:L$209)-SUMPRODUCT(--ISNUMBER(SEARCH(",-"&amp;ROW(L$10:L$209)&amp;",",","&amp;SUBSTITUTE($R66," ","")&amp;",")),L$10:L$209))))&lt;=1,TRUE)),"✓","✗"))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","")&amp;",")),K$10:K$209))))&lt;=1,TRUE),IF(OR(ISNUMBER(L67),L67="-"),ABS(N(L67)-(IF(ISNUMBER(SEARCH(":",SUBSTITUTE($R67," ",""))),SUM(INDIRECT("L"&amp;LEFT(SUBSTITUTE($R67," ",""),SEARCH(":",SUBSTITUTE($R67," ",""))-1)&amp;":L"&amp;MID(SUBSTITUTE($R67," ",""),SEARCH(":",SUBSTITUTE($R67," ",""))+1,10))),SUMPRODUCT(--ISNUMBER(SEARCH(","&amp;ROW(L$10:L$209)&amp;",",","&amp;SUBSTITUTE($R67," ","")&amp;",")),L$10:L$209)-SUMPRODUCT(--ISNUMBER(SEARCH(",-"&amp;ROW(L$10:L$209)&amp;",",","&amp;SUBSTITUTE($R67," ","")&amp;",")),L$10:L$209))))&lt;=1,TRUE)),"✓","✗"))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","")&amp;",")),K$10:K$209))))&lt;=1,TRUE),IF(OR(ISNUMBER(L68),L68="-"),ABS(N(L68)-(IF(ISNUMBER(SEARCH(":",SUBSTITUTE($R68," ",""))),SUM(INDIRECT("L"&amp;LEFT(SUBSTITUTE($R68," ",""),SEARCH(":",SUBSTITUTE($R68," ",""))-1)&amp;":L"&amp;MID(SUBSTITUTE($R68," ",""),SEARCH(":",SUBSTITUTE($R68," ",""))+1,10))),SUMPRODUCT(--ISNUMBER(SEARCH(","&amp;ROW(L$10:L$209)&amp;",",","&amp;SUBSTITUTE($R68," ","")&amp;",")),L$10:L$209)-SUMPRODUCT(--ISNUMBER(SEARCH(",-"&amp;ROW(L$10:L$209)&amp;",",","&amp;SUBSTITUTE($R68," ","")&amp;",")),L$10:L$209))))&lt;=1,TRUE)),"✓","✗"))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","")&amp;",")),K$10:K$209))))&lt;=1,TRUE),IF(OR(ISNUMBER(L69),L69="-"),ABS(N(L69)-(IF(ISNUMBER(SEARCH(":",SUBSTITUTE($R69," ",""))),SUM(INDIRECT("L"&amp;LEFT(SUBSTITUTE($R69," ",""),SEARCH(":",SUBSTITUTE($R69," ",""))-1)&amp;":L"&amp;MID(SUBSTITUTE($R69," ",""),SEARCH(":",SUBSTITUTE($R69," ",""))+1,10))),SUMPRODUCT(--ISNUMBER(SEARCH(","&amp;ROW(L$10:L$209)&amp;",",","&amp;SUBSTITUTE($R69," ","")&amp;",")),L$10:L$209)-SUMPRODUCT(--ISNUMBER(SEARCH(",-"&amp;ROW(L$10:L$209)&amp;",",","&amp;SUBSTITUTE($R69," ","")&amp;",")),L$10:L$209))))&lt;=1,TRUE)),"✓","✗"))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","")&amp;",")),K$10:K$209))))&lt;=1,TRUE),IF(OR(ISNUMBER(L70),L70="-"),ABS(N(L70)-(IF(ISNUMBER(SEARCH(":",SUBSTITUTE($R70," ",""))),SUM(INDIRECT("L"&amp;LEFT(SUBSTITUTE($R70," ",""),SEARCH(":",SUBSTITUTE($R70," ",""))-1)&amp;":L"&amp;MID(SUBSTITUTE($R70," ",""),SEARCH(":",SUBSTITUTE($R70," ",""))+1,10))),SUMPRODUCT(--ISNUMBER(SEARCH(","&amp;ROW(L$10:L$209)&amp;",",","&amp;SUBSTITUTE($R70," ","")&amp;",")),L$10:L$209)-SUMPRODUCT(--ISNUMBER(SEARCH(",-"&amp;ROW(L$10:L$209)&amp;",",","&amp;SUBSTITUTE($R70," ","")&amp;",")),L$10:L$209))))&lt;=1,TRUE)),"✓","✗"))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","")&amp;",")),K$10:K$209))))&lt;=1,TRUE),IF(OR(ISNUMBER(L71),L71="-"),ABS(N(L71)-(IF(ISNUMBER(SEARCH(":",SUBSTITUTE($R71," ",""))),SUM(INDIRECT("L"&amp;LEFT(SUBSTITUTE($R71," ",""),SEARCH(":",SUBSTITUTE($R71," ",""))-1)&amp;":L"&amp;MID(SUBSTITUTE($R71," ",""),SEARCH(":",SUBSTITUTE($R71," ",""))+1,10))),SUMPRODUCT(--ISNUMBER(SEARCH(","&amp;ROW(L$10:L$209)&amp;",",","&amp;SUBSTITUTE($R71," ","")&amp;",")),L$10:L$209)-SUMPRODUCT(--ISNUMBER(SEARCH(",-"&amp;ROW(L$10:L$209)&amp;",",","&amp;SUBSTITUTE($R71," ","")&amp;",")),L$10:L$209))))&lt;=1,TRUE)),"✓","✗"))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","")&amp;",")),K$10:K$209))))&lt;=1,TRUE),IF(OR(ISNUMBER(L72),L72="-"),ABS(N(L72)-(IF(ISNUMBER(SEARCH(":",SUBSTITUTE($R72," ",""))),SUM(INDIRECT("L"&amp;LEFT(SUBSTITUTE($R72," ",""),SEARCH(":",SUBSTITUTE($R72," ",""))-1)&amp;":L"&amp;MID(SUBSTITUTE($R72," ",""),SEARCH(":",SUBSTITUTE($R72," ",""))+1,10))),SUMPRODUCT(--ISNUMBER(SEARCH(","&amp;ROW(L$10:L$209)&amp;",",","&amp;SUBSTITUTE($R72," ","")&amp;",")),L$10:L$209)-SUMPRODUCT(--ISNUMBER(SEARCH(",-"&amp;ROW(L$10:L$209)&amp;",",","&amp;SUBSTITUTE($R72," ","")&amp;",")),L$10:L$209))))&lt;=1,TRUE)),"✓","✗"))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","")&amp;",")),K$10:K$209))))&lt;=1,TRUE),IF(OR(ISNUMBER(L73),L73="-"),ABS(N(L73)-(IF(ISNUMBER(SEARCH(":",SUBSTITUTE($R73," ",""))),SUM(INDIRECT("L"&amp;LEFT(SUBSTITUTE($R73," ",""),SEARCH(":",SUBSTITUTE($R73," ",""))-1)&amp;":L"&amp;MID(SUBSTITUTE($R73," ",""),SEARCH(":",SUBSTITUTE($R73," ",""))+1,10))),SUMPRODUCT(--ISNUMBER(SEARCH(","&amp;ROW(L$10:L$209)&amp;",",","&amp;SUBSTITUTE($R73," ","")&amp;",")),L$10:L$209)-SUMPRODUCT(--ISNUMBER(SEARCH(",-"&amp;ROW(L$10:L$209)&amp;",",","&amp;SUBSTITUTE($R73," ","")&amp;",")),L$10:L$209))))&lt;=1,TRUE)),"✓","✗"))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","")&amp;",")),K$10:K$209))))&lt;=1,TRUE),IF(OR(ISNUMBER(L75),L75="-"),ABS(N(L75)-(IF(ISNUMBER(SEARCH(":",SUBSTITUTE($R75," ",""))),SUM(INDIRECT("L"&amp;LEFT(SUBSTITUTE($R75," ",""),SEARCH(":",SUBSTITUTE($R75," ",""))-1)&amp;":L"&amp;MID(SUBSTITUTE($R75," ",""),SEARCH(":",SUBSTITUTE($R75," ",""))+1,10))),SUMPRODUCT(--ISNUMBER(SEARCH(","&amp;ROW(L$10:L$209)&amp;",",","&amp;SUBSTITUTE($R75," ","")&amp;",")),L$10:L$209)-SUMPRODUCT(--ISNUMBER(SEARCH(",-"&amp;ROW(L$10:L$209)&amp;",",","&amp;SUBSTITUTE($R75," ","")&amp;",")),L$10:L$209))))&lt;=1,TRUE)),"✓","✗"))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","")&amp;",")),K$10:K$209))))&lt;=1,TRUE),IF(OR(ISNUMBER(L76),L76="-"),ABS(N(L76)-(IF(ISNUMBER(SEARCH(":",SUBSTITUTE($R76," ",""))),SUM(INDIRECT("L"&amp;LEFT(SUBSTITUTE($R76," ",""),SEARCH(":",SUBSTITUTE($R76," ",""))-1)&amp;":L"&amp;MID(SUBSTITUTE($R76," ",""),SEARCH(":",SUBSTITUTE($R76," ",""))+1,10))),SUMPRODUCT(--ISNUMBER(SEARCH(","&amp;ROW(L$10:L$209)&amp;",",","&amp;SUBSTITUTE($R76," ","")&amp;",")),L$10:L$209)-SUMPRODUCT(--ISNUMBER(SEARCH(",-"&amp;ROW(L$10:L$209)&amp;",",","&amp;SUBSTITUTE($R76," ","")&amp;",")),L$10:L$209))))&lt;=1,TRUE)),"✓","✗"))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","")&amp;",")),K$10:K$209))))&lt;=1,TRUE),IF(OR(ISNUMBER(L77),L77="-"),ABS(N(L77)-(IF(ISNUMBER(SEARCH(":",SUBSTITUTE($R77," ",""))),SUM(INDIRECT("L"&amp;LEFT(SUBSTITUTE($R77," ",""),SEARCH(":",SUBSTITUTE($R77," ",""))-1)&amp;":L"&amp;MID(SUBSTITUTE($R77," ",""),SEARCH(":",SUBSTITUTE($R77," ",""))+1,10))),SUMPRODUCT(--ISNUMBER(SEARCH(","&amp;ROW(L$10:L$209)&amp;",",","&amp;SUBSTITUTE($R77," ","")&amp;",")),L$10:L$209)-SUMPRODUCT(--ISNUMBER(SEARCH(",-"&amp;ROW(L$10:L$209)&amp;",",","&amp;SUBSTITUTE($R77," ","")&amp;",")),L$10:L$209))))&lt;=1,TRUE)),"✓","✗"))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","")&amp;",")),K$10:K$209))))&lt;=1,TRUE),IF(OR(ISNUMBER(L78),L78="-"),ABS(N(L78)-(IF(ISNUMBER(SEARCH(":",SUBSTITUTE($R78," ",""))),SUM(INDIRECT("L"&amp;LEFT(SUBSTITUTE($R78," ",""),SEARCH(":",SUBSTITUTE($R78," ",""))-1)&amp;":L"&amp;MID(SUBSTITUTE($R78," ",""),SEARCH(":",SUBSTITUTE($R78," ",""))+1,10))),SUMPRODUCT(--ISNUMBER(SEARCH(","&amp;ROW(L$10:L$209)&amp;",",","&amp;SUBSTITUTE($R78," ","")&amp;",")),L$10:L$209)-SUMPRODUCT(--ISNUMBER(SEARCH(",-"&amp;ROW(L$10:L$209)&amp;",",","&amp;SUBSTITUTE($R78," ","")&amp;",")),L$10:L$209))))&lt;=1,TRUE)),"✓","✗"))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","")&amp;",")),K$10:K$209))))&lt;=1,TRUE),IF(OR(ISNUMBER(L79),L79="-"),ABS(N(L79)-(IF(ISNUMBER(SEARCH(":",SUBSTITUTE($R79," ",""))),SUM(INDIRECT("L"&amp;LEFT(SUBSTITUTE($R79," ",""),SEARCH(":",SUBSTITUTE($R79," ",""))-1)&amp;":L"&amp;MID(SUBSTITUTE($R79," ",""),SEARCH(":",SUBSTITUTE($R79," ",""))+1,10))),SUMPRODUCT(--ISNUMBER(SEARCH(","&amp;ROW(L$10:L$209)&amp;",",","&amp;SUBSTITUTE($R79," ","")&amp;",")),L$10:L$209)-SUMPRODUCT(--ISNUMBER(SEARCH(",-"&amp;ROW(L$10:L$209)&amp;",",","&amp;SUBSTITUTE($R79," ","")&amp;",")),L$10:L$209))))&lt;=1,TRUE)),"✓","✗"))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","")&amp;",")),K$10:K$209))))&lt;=1,TRUE),IF(OR(ISNUMBER(L80),L80="-"),ABS(N(L80)-(IF(ISNUMBER(SEARCH(":",SUBSTITUTE($R80," ",""))),SUM(INDIRECT("L"&amp;LEFT(SUBSTITUTE($R80," ",""),SEARCH(":",SUBSTITUTE($R80," ",""))-1)&amp;":L"&amp;MID(SUBSTITUTE($R80," ",""),SEARCH(":",SUBSTITUTE($R80," ",""))+1,10))),SUMPRODUCT(--ISNUMBER(SEARCH(","&amp;ROW(L$10:L$209)&amp;",",","&amp;SUBSTITUTE($R80," ","")&amp;",")),L$10:L$209)-SUMPRODUCT(--ISNUMBER(SEARCH(",-"&amp;ROW(L$10:L$209)&amp;",",","&amp;SUBSTITUTE($R80," ","")&amp;",")),L$10:L$209))))&lt;=1,TRUE)),"✓","✗"))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","")&amp;",")),K$10:K$209))))&lt;=1,TRUE),IF(OR(ISNUMBER(L81),L81="-"),ABS(N(L81)-(IF(ISNUMBER(SEARCH(":",SUBSTITUTE($R81," ",""))),SUM(INDIRECT("L"&amp;LEFT(SUBSTITUTE($R81," ",""),SEARCH(":",SUBSTITUTE($R81," ",""))-1)&amp;":L"&amp;MID(SUBSTITUTE($R81," ",""),SEARCH(":",SUBSTITUTE($R81," ",""))+1,10))),SUMPRODUCT(--ISNUMBER(SEARCH(","&amp;ROW(L$10:L$209)&amp;",",","&amp;SUBSTITUTE($R81," ","")&amp;",")),L$10:L$209)-SUMPRODUCT(--ISNUMBER(SEARCH(",-"&amp;ROW(L$10:L$209)&amp;",",","&amp;SUBSTITUTE($R81," ","")&amp;",")),L$10:L$209))))&lt;=1,TRUE)),"✓","✗"))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","")&amp;",")),K$10:K$209))))&lt;=1,TRUE),IF(OR(ISNUMBER(L82),L82="-"),ABS(N(L82)-(IF(ISNUMBER(SEARCH(":",SUBSTITUTE($R82," ",""))),SUM(INDIRECT("L"&amp;LEFT(SUBSTITUTE($R82," ",""),SEARCH(":",SUBSTITUTE($R82," ",""))-1)&amp;":L"&amp;MID(SUBSTITUTE($R82," ",""),SEARCH(":",SUBSTITUTE($R82," ",""))+1,10))),SUMPRODUCT(--ISNUMBER(SEARCH(","&amp;ROW(L$10:L$209)&amp;",",","&amp;SUBSTITUTE($R82," ","")&amp;",")),L$10:L$209)-SUMPRODUCT(--ISNUMBER(SEARCH(",-"&amp;ROW(L$10:L$209)&amp;",",","&amp;SUBSTITUTE($R82," ","")&amp;",")),L$10:L$209))))&lt;=1,TRUE)),"✓","✗"))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","")&amp;",")),K$10:K$209))))&lt;=1,TRUE),IF(OR(ISNUMBER(L83),L83="-"),ABS(N(L83)-(IF(ISNUMBER(SEARCH(":",SUBSTITUTE($R83," ",""))),SUM(INDIRECT("L"&amp;LEFT(SUBSTITUTE($R83," ",""),SEARCH(":",SUBSTITUTE($R83," ",""))-1)&amp;":L"&amp;MID(SUBSTITUTE($R83," ",""),SEARCH(":",SUBSTITUTE($R83," ",""))+1,10))),SUMPRODUCT(--ISNUMBER(SEARCH(","&amp;ROW(L$10:L$209)&amp;",",","&amp;SUBSTITUTE($R83," ","")&amp;",")),L$10:L$209)-SUMPRODUCT(--ISNUMBER(SEARCH(",-"&amp;ROW(L$10:L$209)&amp;",",","&amp;SUBSTITUTE($R83," ","")&amp;",")),L$10:L$209))))&lt;=1,TRUE)),"✓","✗"))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","")&amp;",")),K$10:K$209))))&lt;=1,TRUE),IF(OR(ISNUMBER(L84),L84="-"),ABS(N(L84)-(IF(ISNUMBER(SEARCH(":",SUBSTITUTE($R84," ",""))),SUM(INDIRECT("L"&amp;LEFT(SUBSTITUTE($R84," ",""),SEARCH(":",SUBSTITUTE($R84," ",""))-1)&amp;":L"&amp;MID(SUBSTITUTE($R84," ",""),SEARCH(":",SUBSTITUTE($R84," ",""))+1,10))),SUMPRODUCT(--ISNUMBER(SEARCH(","&amp;ROW(L$10:L$209)&amp;",",","&amp;SUBSTITUTE($R84," ","")&amp;",")),L$10:L$209)-SUMPRODUCT(--ISNUMBER(SEARCH(",-"&amp;ROW(L$10:L$209)&amp;",",","&amp;SUBSTITUTE($R84," ","")&amp;",")),L$10:L$209))))&lt;=1,TRUE)),"✓","✗"))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","")&amp;",")),K$10:K$209))))&lt;=1,TRUE),IF(OR(ISNUMBER(L85),L85="-"),ABS(N(L85)-(IF(ISNUMBER(SEARCH(":",SUBSTITUTE($R85," ",""))),SUM(INDIRECT("L"&amp;LEFT(SUBSTITUTE($R85," ",""),SEARCH(":",SUBSTITUTE($R85," ",""))-1)&amp;":L"&amp;MID(SUBSTITUTE($R85," ",""),SEARCH(":",SUBSTITUTE($R85," ",""))+1,10))),SUMPRODUCT(--ISNUMBER(SEARCH(","&amp;ROW(L$10:L$209)&amp;",",","&amp;SUBSTITUTE($R85," ","")&amp;",")),L$10:L$209)-SUMPRODUCT(--ISNUMBER(SEARCH(",-"&amp;ROW(L$10:L$209)&amp;",",","&amp;SUBSTITUTE($R85," ","")&amp;",")),L$10:L$209))))&lt;=1,TRUE)),"✓","✗"))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","")&amp;",")),K$10:K$209))))&lt;=1,TRUE),IF(OR(ISNUMBER(L86),L86="-"),ABS(N(L86)-(IF(ISNUMBER(SEARCH(":",SUBSTITUTE($R86," ",""))),SUM(INDIRECT("L"&amp;LEFT(SUBSTITUTE($R86," ",""),SEARCH(":",SUBSTITUTE($R86," ",""))-1)&amp;":L"&amp;MID(SUBSTITUTE($R86," ",""),SEARCH(":",SUBSTITUTE($R86," ",""))+1,10))),SUMPRODUCT(--ISNUMBER(SEARCH(","&amp;ROW(L$10:L$209)&amp;",",","&amp;SUBSTITUTE($R86," ","")&amp;",")),L$10:L$209)-SUMPRODUCT(--ISNUMBER(SEARCH(",-"&amp;ROW(L$10:L$209)&amp;",",","&amp;SUBSTITUTE($R86," ","")&amp;",")),L$10:L$209))))&lt;=1,TRUE)),"✓","✗"))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","")&amp;",")),K$10:K$209))))&lt;=1,TRUE),IF(OR(ISNUMBER(L87),L87="-"),ABS(N(L87)-(IF(ISNUMBER(SEARCH(":",SUBSTITUTE($R87," ",""))),SUM(INDIRECT("L"&amp;LEFT(SUBSTITUTE($R87," ",""),SEARCH(":",SUBSTITUTE($R87," ",""))-1)&amp;":L"&amp;MID(SUBSTITUTE($R87," ",""),SEARCH(":",SUBSTITUTE($R87," ",""))+1,10))),SUMPRODUCT(--ISNUMBER(SEARCH(","&amp;ROW(L$10:L$209)&amp;",",","&amp;SUBSTITUTE($R87," ","")&amp;",")),L$10:L$209)-SUMPRODUCT(--ISNUMBER(SEARCH(",-"&amp;ROW(L$10:L$209)&amp;",",","&amp;SUBSTITUTE($R87," ","")&amp;",")),L$10:L$209))))&lt;=1,TRUE)),"✓","✗"))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","")&amp;",")),K$10:K$209))))&lt;=1,TRUE),IF(OR(ISNUMBER(L88),L88="-"),ABS(N(L88)-(IF(ISNUMBER(SEARCH(":",SUBSTITUTE($R88," ",""))),SUM(INDIRECT("L"&amp;LEFT(SUBSTITUTE($R88," ",""),SEARCH(":",SUBSTITUTE($R88," ",""))-1)&amp;":L"&amp;MID(SUBSTITUTE($R88," ",""),SEARCH(":",SUBSTITUTE($R88," ",""))+1,10))),SUMPRODUCT(--ISNUMBER(SEARCH(","&amp;ROW(L$10:L$209)&amp;",",","&amp;SUBSTITUTE($R88," ","")&amp;",")),L$10:L$209)-SUMPRODUCT(--ISNUMBER(SEARCH(",-"&amp;ROW(L$10:L$209)&amp;",",","&amp;SUBSTITUTE($R88," ","")&amp;",")),L$10:L$209))))&lt;=1,TRUE)),"✓","✗"))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","")&amp;",")),K$10:K$209))))&lt;=1,TRUE),IF(OR(ISNUMBER(L89),L89="-"),ABS(N(L89)-(IF(ISNUMBER(SEARCH(":",SUBSTITUTE($R89," ",""))),SUM(INDIRECT("L"&amp;LEFT(SUBSTITUTE($R89," ",""),SEARCH(":",SUBSTITUTE($R89," ",""))-1)&amp;":L"&amp;MID(SUBSTITUTE($R89," ",""),SEARCH(":",SUBSTITUTE($R89," ",""))+1,10))),SUMPRODUCT(--ISNUMBER(SEARCH(","&amp;ROW(L$10:L$209)&amp;",",","&amp;SUBSTITUTE($R89," ","")&amp;",")),L$10:L$209)-SUMPRODUCT(--ISNUMBER(SEARCH(",-"&amp;ROW(L$10:L$209)&amp;",",","&amp;SUBSTITUTE($R89," ","")&amp;",")),L$10:L$209))))&lt;=1,TRUE)),"✓","✗"))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","")&amp;",")),K$10:K$209))))&lt;=1,TRUE),IF(OR(ISNUMBER(L90),L90="-"),ABS(N(L90)-(IF(ISNUMBER(SEARCH(":",SUBSTITUTE($R90," ",""))),SUM(INDIRECT("L"&amp;LEFT(SUBSTITUTE($R90," ",""),SEARCH(":",SUBSTITUTE($R90," ",""))-1)&amp;":L"&amp;MID(SUBSTITUTE($R90," ",""),SEARCH(":",SUBSTITUTE($R90," ",""))+1,10))),SUMPRODUCT(--ISNUMBER(SEARCH(","&amp;ROW(L$10:L$209)&amp;",",","&amp;SUBSTITUTE($R90," ","")&amp;",")),L$10:L$209)-SUMPRODUCT(--ISNUMBER(SEARCH(",-"&amp;ROW(L$10:L$209)&amp;",",","&amp;SUBSTITUTE($R90," ","")&amp;",")),L$10:L$209))))&lt;=1,TRUE)),"✓","✗"))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","")&amp;",")),K$10:K$209))))&lt;=1,TRUE),IF(OR(ISNUMBER(L91),L91="-"),ABS(N(L91)-(IF(ISNUMBER(SEARCH(":",SUBSTITUTE($R91," ",""))),SUM(INDIRECT("L"&amp;LEFT(SUBSTITUTE($R91," ",""),SEARCH(":",SUBSTITUTE($R91," ",""))-1)&amp;":L"&amp;MID(SUBSTITUTE($R91," ",""),SEARCH(":",SUBSTITUTE($R91," ",""))+1,10))),SUMPRODUCT(--ISNUMBER(SEARCH(","&amp;ROW(L$10:L$209)&amp;",",","&amp;SUBSTITUTE($R91," ","")&amp;",")),L$10:L$209)-SUMPRODUCT(--ISNUMBER(SEARCH(",-"&amp;ROW(L$10:L$209)&amp;",",","&amp;SUBSTITUTE($R91," ","")&amp;",")),L$10:L$209))))&lt;=1,TRUE)),"✓","✗"))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","")&amp;",")),K$10:K$209))))&lt;=1,TRUE),IF(OR(ISNUMBER(L92),L92="-"),ABS(N(L92)-(IF(ISNUMBER(SEARCH(":",SUBSTITUTE($R92," ",""))),SUM(INDIRECT("L"&amp;LEFT(SUBSTITUTE($R92," ",""),SEARCH(":",SUBSTITUTE($R92," ",""))-1)&amp;":L"&amp;MID(SUBSTITUTE($R92," ",""),SEARCH(":",SUBSTITUTE($R92," ",""))+1,10))),SUMPRODUCT(--ISNUMBER(SEARCH(","&amp;ROW(L$10:L$209)&amp;",",","&amp;SUBSTITUTE($R92," ","")&amp;",")),L$10:L$209)-SUMPRODUCT(--ISNUMBER(SEARCH(",-"&amp;ROW(L$10:L$209)&amp;",",","&amp;SUBSTITUTE($R92," ","")&amp;",")),L$10:L$209))))&lt;=1,TRUE)),"✓","✗"))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","")&amp;",")),K$10:K$209))))&lt;=1,TRUE),IF(OR(ISNUMBER(L93),L93="-"),ABS(N(L93)-(IF(ISNUMBER(SEARCH(":",SUBSTITUTE($R93," ",""))),SUM(INDIRECT("L"&amp;LEFT(SUBSTITUTE($R93," ",""),SEARCH(":",SUBSTITUTE($R93," ",""))-1)&amp;":L"&amp;MID(SUBSTITUTE($R93," ",""),SEARCH(":",SUBSTITUTE($R93," ",""))+1,10))),SUMPRODUCT(--ISNUMBER(SEARCH(","&amp;ROW(L$10:L$209)&amp;",",","&amp;SUBSTITUTE($R93," ","")&amp;",")),L$10:L$209)-SUMPRODUCT(--ISNUMBER(SEARCH(",-"&amp;ROW(L$10:L$209)&amp;",",","&amp;SUBSTITUTE($R93," ","")&amp;",")),L$10:L$209))))&lt;=1,TRUE)),"✓","✗"))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","")&amp;",")),K$10:K$209))))&lt;=1,TRUE),IF(OR(ISNUMBER(L94),L94="-"),ABS(N(L94)-(IF(ISNUMBER(SEARCH(":",SUBSTITUTE($R94," ",""))),SUM(INDIRECT("L"&amp;LEFT(SUBSTITUTE($R94," ",""),SEARCH(":",SUBSTITUTE($R94," ",""))-1)&amp;":L"&amp;MID(SUBSTITUTE($R94," ",""),SEARCH(":",SUBSTITUTE($R94," ",""))+1,10))),SUMPRODUCT(--ISNUMBER(SEARCH(","&amp;ROW(L$10:L$209)&amp;",",","&amp;SUBSTITUTE($R94," ","")&amp;",")),L$10:L$209)-SUMPRODUCT(--ISNUMBER(SEARCH(",-"&amp;ROW(L$10:L$209)&amp;",",","&amp;SUBSTITUTE($R94," ","")&amp;",")),L$10:L$209))))&lt;=1,TRUE)),"✓","✗"))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","")&amp;",")),K$10:K$209))))&lt;=1,TRUE),IF(OR(ISNUMBER(L95),L95="-"),ABS(N(L95)-(IF(ISNUMBER(SEARCH(":",SUBSTITUTE($R95," ",""))),SUM(INDIRECT("L"&amp;LEFT(SUBSTITUTE($R95," ",""),SEARCH(":",SUBSTITUTE($R95," ",""))-1)&amp;":L"&amp;MID(SUBSTITUTE($R95," ",""),SEARCH(":",SUBSTITUTE($R95," ",""))+1,10))),SUMPRODUCT(--ISNUMBER(SEARCH(","&amp;ROW(L$10:L$209)&amp;",",","&amp;SUBSTITUTE($R95," ","")&amp;",")),L$10:L$209)-SUMPRODUCT(--ISNUMBER(SEARCH(",-"&amp;ROW(L$10:L$209)&amp;",",","&amp;SUBSTITUTE($R95," ","")&amp;",")),L$10:L$209))))&lt;=1,TRUE)),"✓","✗"))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","")&amp;",")),K$10:K$209))))&lt;=1,TRUE),IF(OR(ISNUMBER(L96),L96="-"),ABS(N(L96)-(IF(ISNUMBER(SEARCH(":",SUBSTITUTE($R96," ",""))),SUM(INDIRECT("L"&amp;LEFT(SUBSTITUTE($R96," ",""),SEARCH(":",SUBSTITUTE($R96," ",""))-1)&amp;":L"&amp;MID(SUBSTITUTE($R96," ",""),SEARCH(":",SUBSTITUTE($R96," ",""))+1,10))),SUMPRODUCT(--ISNUMBER(SEARCH(","&amp;ROW(L$10:L$209)&amp;",",","&amp;SUBSTITUTE($R96," ","")&amp;",")),L$10:L$209)-SUMPRODUCT(--ISNUMBER(SEARCH(",-"&amp;ROW(L$10:L$209)&amp;",",","&amp;SUBSTITUTE($R96," ","")&amp;",")),L$10:L$209))))&lt;=1,TRUE)),"✓","✗"))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","")&amp;",")),K$10:K$209))))&lt;=1,TRUE),IF(OR(ISNUMBER(L97),L97="-"),ABS(N(L97)-(IF(ISNUMBER(SEARCH(":",SUBSTITUTE($R97," ",""))),SUM(INDIRECT("L"&amp;LEFT(SUBSTITUTE($R97," ",""),SEARCH(":",SUBSTITUTE($R97," ",""))-1)&amp;":L"&amp;MID(SUBSTITUTE($R97," ",""),SEARCH(":",SUBSTITUTE($R97," ",""))+1,10))),SUMPRODUCT(--ISNUMBER(SEARCH(","&amp;ROW(L$10:L$209)&amp;",",","&amp;SUBSTITUTE($R97," ","")&amp;",")),L$10:L$209)-SUMPRODUCT(--ISNUMBER(SEARCH(",-"&amp;ROW(L$10:L$209)&amp;",",","&amp;SUBSTITUTE($R97," ","")&amp;",")),L$10:L$209))))&lt;=1,TRUE)),"✓","✗"))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","")&amp;",")),K$10:K$209))))&lt;=1,TRUE),IF(OR(ISNUMBER(L98),L98="-"),ABS(N(L98)-(IF(ISNUMBER(SEARCH(":",SUBSTITUTE($R98," ",""))),SUM(INDIRECT("L"&amp;LEFT(SUBSTITUTE($R98," ",""),SEARCH(":",SUBSTITUTE($R98," ",""))-1)&amp;":L"&amp;MID(SUBSTITUTE($R98," ",""),SEARCH(":",SUBSTITUTE($R98," ",""))+1,10))),SUMPRODUCT(--ISNUMBER(SEARCH(","&amp;ROW(L$10:L$209)&amp;",",","&amp;SUBSTITUTE($R98," ","")&amp;",")),L$10:L$209)-SUMPRODUCT(--ISNUMBER(SEARCH(",-"&amp;ROW(L$10:L$209)&amp;",",","&amp;SUBSTITUTE($R98," ","")&amp;",")),L$10:L$209))))&lt;=1,TRUE)),"✓","✗"))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","")&amp;",")),K$10:K$209))))&lt;=1,TRUE),IF(OR(ISNUMBER(L99),L99="-"),ABS(N(L99)-(IF(ISNUMBER(SEARCH(":",SUBSTITUTE($R99," ",""))),SUM(INDIRECT("L"&amp;LEFT(SUBSTITUTE($R99," ",""),SEARCH(":",SUBSTITUTE($R99," ",""))-1)&amp;":L"&amp;MID(SUBSTITUTE($R99," ",""),SEARCH(":",SUBSTITUTE($R99," ",""))+1,10))),SUMPRODUCT(--ISNUMBER(SEARCH(","&amp;ROW(L$10:L$209)&amp;",",","&amp;SUBSTITUTE($R99," ","")&amp;",")),L$10:L$209)-SUMPRODUCT(--ISNUMBER(SEARCH(",-"&amp;ROW(L$10:L$209)&amp;",",","&amp;SUBSTITUTE($R99," ","")&amp;",")),L$10:L$209))))&lt;=1,TRUE)),"✓","✗"))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","")&amp;",")),K$10:K$209))))&lt;=1,TRUE),IF(OR(ISNUMBER(L100),L100="-"),ABS(N(L100)-(IF(ISNUMBER(SEARCH(":",SUBSTITUTE($R100," ",""))),SUM(INDIRECT("L"&amp;LEFT(SUBSTITUTE($R100," ",""),SEARCH(":",SUBSTITUTE($R100," ",""))-1)&amp;":L"&amp;MID(SUBSTITUTE($R100," ",""),SEARCH(":",SUBSTITUTE($R100," ",""))+1,10))),SUMPRODUCT(--ISNUMBER(SEARCH(","&amp;ROW(L$10:L$209)&amp;",",","&amp;SUBSTITUTE($R100," ","")&amp;",")),L$10:L$209)-SUMPRODUCT(--ISNUMBER(SEARCH(",-"&amp;ROW(L$10:L$209)&amp;",",","&amp;SUBSTITUTE($R100," ","")&amp;",")),L$10:L$209))))&lt;=1,TRUE)),"✓","✗"))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","")&amp;",")),K$10:K$209))))&lt;=1,TRUE),IF(OR(ISNUMBER(L101),L101="-"),ABS(N(L101)-(IF(ISNUMBER(SEARCH(":",SUBSTITUTE($R101," ",""))),SUM(INDIRECT("L"&amp;LEFT(SUBSTITUTE($R101," ",""),SEARCH(":",SUBSTITUTE($R101," ",""))-1)&amp;":L"&amp;MID(SUBSTITUTE($R101," ",""),SEARCH(":",SUBSTITUTE($R101," ",""))+1,10))),SUMPRODUCT(--ISNUMBER(SEARCH(","&amp;ROW(L$10:L$209)&amp;",",","&amp;SUBSTITUTE($R101," ","")&amp;",")),L$10:L$209)-SUMPRODUCT(--ISNUMBER(SEARCH(",-"&amp;ROW(L$10:L$209)&amp;",",","&amp;SUBSTITUTE($R101," ","")&amp;",")),L$10:L$209))))&lt;=1,TRUE)),"✓","✗"))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","")&amp;",")),K$10:K$209))))&lt;=1,TRUE),IF(OR(ISNUMBER(L102),L102="-"),ABS(N(L102)-(IF(ISNUMBER(SEARCH(":",SUBSTITUTE($R102," ",""))),SUM(INDIRECT("L"&amp;LEFT(SUBSTITUTE($R102," ",""),SEARCH(":",SUBSTITUTE($R102," ",""))-1)&amp;":L"&amp;MID(SUBSTITUTE($R102," ",""),SEARCH(":",SUBSTITUTE($R102," ",""))+1,10))),SUMPRODUCT(--ISNUMBER(SEARCH(","&amp;ROW(L$10:L$209)&amp;",",","&amp;SUBSTITUTE($R102," ","")&amp;",")),L$10:L$209)-SUMPRODUCT(--ISNUMBER(SEARCH(",-"&amp;ROW(L$10:L$209)&amp;",",","&amp;SUBSTITUTE($R102," ","")&amp;",")),L$10:L$209))))&lt;=1,TRUE)),"✓","✗"))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","")&amp;",")),K$10:K$209))))&lt;=1,TRUE),IF(OR(ISNUMBER(L103),L103="-"),ABS(N(L103)-(IF(ISNUMBER(SEARCH(":",SUBSTITUTE($R103," ",""))),SUM(INDIRECT("L"&amp;LEFT(SUBSTITUTE($R103," ",""),SEARCH(":",SUBSTITUTE($R103," ",""))-1)&amp;":L"&amp;MID(SUBSTITUTE($R103," ",""),SEARCH(":",SUBSTITUTE($R103," ",""))+1,10))),SUMPRODUCT(--ISNUMBER(SEARCH(","&amp;ROW(L$10:L$209)&amp;",",","&amp;SUBSTITUTE($R103," ","")&amp;",")),L$10:L$209)-SUMPRODUCT(--ISNUMBER(SEARCH(",-"&amp;ROW(L$10:L$209)&amp;",",","&amp;SUBSTITUTE($R103," ","")&amp;",")),L$10:L$209))))&lt;=1,TRUE)),"✓","✗"))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","")&amp;",")),K$10:K$209))))&lt;=1,TRUE),IF(OR(ISNUMBER(L104),L104="-"),ABS(N(L104)-(IF(ISNUMBER(SEARCH(":",SUBSTITUTE($R104," ",""))),SUM(INDIRECT("L"&amp;LEFT(SUBSTITUTE($R104," ",""),SEARCH(":",SUBSTITUTE($R104," ",""))-1)&amp;":L"&amp;MID(SUBSTITUTE($R104," ",""),SEARCH(":",SUBSTITUTE($R104," ",""))+1,10))),SUMPRODUCT(--ISNUMBER(SEARCH(","&amp;ROW(L$10:L$209)&amp;",",","&amp;SUBSTITUTE($R104," ","")&amp;",")),L$10:L$209)-SUMPRODUCT(--ISNUMBER(SEARCH(",-"&amp;ROW(L$10:L$209)&amp;",",","&amp;SUBSTITUTE($R104," ","")&amp;",")),L$10:L$209))))&lt;=1,TRUE)),"✓","✗"))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","")&amp;",")),K$10:K$209))))&lt;=1,TRUE),IF(OR(ISNUMBER(L105),L105="-"),ABS(N(L105)-(IF(ISNUMBER(SEARCH(":",SUBSTITUTE($R105," ",""))),SUM(INDIRECT("L"&amp;LEFT(SUBSTITUTE($R105," ",""),SEARCH(":",SUBSTITUTE($R105," ",""))-1)&amp;":L"&amp;MID(SUBSTITUTE($R105," ",""),SEARCH(":",SUBSTITUTE($R105," ",""))+1,10))),SUMPRODUCT(--ISNUMBER(SEARCH(","&amp;ROW(L$10:L$209)&amp;",",","&amp;SUBSTITUTE($R105," ","")&amp;",")),L$10:L$209)-SUMPRODUCT(--ISNUMBER(SEARCH(",-"&amp;ROW(L$10:L$209)&amp;",",","&amp;SUBSTITUTE($R105," ","")&amp;",")),L$10:L$209))))&lt;=1,TRUE)),"✓","✗"))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","")&amp;",")),K$10:K$209))))&lt;=1,TRUE),IF(OR(ISNUMBER(L107),L107="-"),ABS(N(L107)-(IF(ISNUMBER(SEARCH(":",SUBSTITUTE($R107," ",""))),SUM(INDIRECT("L"&amp;LEFT(SUBSTITUTE($R107," ",""),SEARCH(":",SUBSTITUTE($R107," ",""))-1)&amp;":L"&amp;MID(SUBSTITUTE($R107," ",""),SEARCH(":",SUBSTITUTE($R107," ",""))+1,10))),SUMPRODUCT(--ISNUMBER(SEARCH(","&amp;ROW(L$10:L$209)&amp;",",","&amp;SUBSTITUTE($R107," ","")&amp;",")),L$10:L$209)-SUMPRODUCT(--ISNUMBER(SEARCH(",-"&amp;ROW(L$10:L$209)&amp;",",","&amp;SUBSTITUTE($R107," ","")&amp;",")),L$10:L$209))))&lt;=1,TRUE)),"✓","✗"))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","")&amp;",")),K$10:K$209))))&lt;=1,TRUE),IF(OR(ISNUMBER(L108),L108="-"),ABS(N(L108)-(IF(ISNUMBER(SEARCH(":",SUBSTITUTE($R108," ",""))),SUM(INDIRECT("L"&amp;LEFT(SUBSTITUTE($R108," ",""),SEARCH(":",SUBSTITUTE($R108," ",""))-1)&amp;":L"&amp;MID(SUBSTITUTE($R108," ",""),SEARCH(":",SUBSTITUTE($R108," ",""))+1,10))),SUMPRODUCT(--ISNUMBER(SEARCH(","&amp;ROW(L$10:L$209)&amp;",",","&amp;SUBSTITUTE($R108," ","")&amp;",")),L$10:L$209)-SUMPRODUCT(--ISNUMBER(SEARCH(",-"&amp;ROW(L$10:L$209)&amp;",",","&amp;SUBSTITUTE($R108," ","")&amp;",")),L$10:L$209))))&lt;=1,TRUE)),"✓","✗"))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","")&amp;",")),K$10:K$209))))&lt;=1,TRUE),IF(OR(ISNUMBER(L109),L109="-"),ABS(N(L109)-(IF(ISNUMBER(SEARCH(":",SUBSTITUTE($R109," ",""))),SUM(INDIRECT("L"&amp;LEFT(SUBSTITUTE($R109," ",""),SEARCH(":",SUBSTITUTE($R109," ",""))-1)&amp;":L"&amp;MID(SUBSTITUTE($R109," ",""),SEARCH(":",SUBSTITUTE($R109," ",""))+1,10))),SUMPRODUCT(--ISNUMBER(SEARCH(","&amp;ROW(L$10:L$209)&amp;",",","&amp;SUBSTITUTE($R109," ","")&amp;",")),L$10:L$209)-SUMPRODUCT(--ISNUMBER(SEARCH(",-"&amp;ROW(L$10:L$209)&amp;",",","&amp;SUBSTITUTE($R109," ","")&amp;",")),L$10:L$209))))&lt;=1,TRUE)),"✓","✗"))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","")&amp;",")),K$10:K$209))))&lt;=1,TRUE),IF(OR(ISNUMBER(L110),L110="-"),ABS(N(L110)-(IF(ISNUMBER(SEARCH(":",SUBSTITUTE($R110," ",""))),SUM(INDIRECT("L"&amp;LEFT(SUBSTITUTE($R110," ",""),SEARCH(":",SUBSTITUTE($R110," ",""))-1)&amp;":L"&amp;MID(SUBSTITUTE($R110," ",""),SEARCH(":",SUBSTITUTE($R110," ",""))+1,10))),SUMPRODUCT(--ISNUMBER(SEARCH(","&amp;ROW(L$10:L$209)&amp;",",","&amp;SUBSTITUTE($R110," ","")&amp;",")),L$10:L$209)-SUMPRODUCT(--ISNUMBER(SEARCH(",-"&amp;ROW(L$10:L$209)&amp;",",","&amp;SUBSTITUTE($R110," ","")&amp;",")),L$10:L$209))))&lt;=1,TRUE)),"✓","✗"))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","")&amp;",")),K$10:K$209))))&lt;=1,TRUE),IF(OR(ISNUMBER(L111),L111="-"),ABS(N(L111)-(IF(ISNUMBER(SEARCH(":",SUBSTITUTE($R111," ",""))),SUM(INDIRECT("L"&amp;LEFT(SUBSTITUTE($R111," ",""),SEARCH(":",SUBSTITUTE($R111," ",""))-1)&amp;":L"&amp;MID(SUBSTITUTE($R111," ",""),SEARCH(":",SUBSTITUTE($R111," ",""))+1,10))),SUMPRODUCT(--ISNUMBER(SEARCH(","&amp;ROW(L$10:L$209)&amp;",",","&amp;SUBSTITUTE($R111," ","")&amp;",")),L$10:L$209)-SUMPRODUCT(--ISNUMBER(SEARCH(",-"&amp;ROW(L$10:L$209)&amp;",",","&amp;SUBSTITUTE($R111," ","")&amp;",")),L$10:L$209))))&lt;=1,TRUE)),"✓","✗"))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","")&amp;",")),K$10:K$209))))&lt;=1,TRUE),IF(OR(ISNUMBER(L112),L112="-"),ABS(N(L112)-(IF(ISNUMBER(SEARCH(":",SUBSTITUTE($R112," ",""))),SUM(INDIRECT("L"&amp;LEFT(SUBSTITUTE($R112," ",""),SEARCH(":",SUBSTITUTE($R112," ",""))-1)&amp;":L"&amp;MID(SUBSTITUTE($R112," ",""),SEARCH(":",SUBSTITUTE($R112," ",""))+1,10))),SUMPRODUCT(--ISNUMBER(SEARCH(","&amp;ROW(L$10:L$209)&amp;",",","&amp;SUBSTITUTE($R112," ","")&amp;",")),L$10:L$209)-SUMPRODUCT(--ISNUMBER(SEARCH(",-"&amp;ROW(L$10:L$209)&amp;",",","&amp;SUBSTITUTE($R112," ","")&amp;",")),L$10:L$209))))&lt;=1,TRUE)),"✓","✗"))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","")&amp;",")),K$10:K$209))))&lt;=1,TRUE),IF(OR(ISNUMBER(L113),L113="-"),ABS(N(L113)-(IF(ISNUMBER(SEARCH(":",SUBSTITUTE($R113," ",""))),SUM(INDIRECT("L"&amp;LEFT(SUBSTITUTE($R113," ",""),SEARCH(":",SUBSTITUTE($R113," ",""))-1)&amp;":L"&amp;MID(SUBSTITUTE($R113," ",""),SEARCH(":",SUBSTITUTE($R113," ",""))+1,10))),SUMPRODUCT(--ISNUMBER(SEARCH(","&amp;ROW(L$10:L$209)&amp;",",","&amp;SUBSTITUTE($R113," ","")&amp;",")),L$10:L$209)-SUMPRODUCT(--ISNUMBER(SEARCH(",-"&amp;ROW(L$10:L$209)&amp;",",","&amp;SUBSTITUTE($R113," ","")&amp;",")),L$10:L$209))))&lt;=1,TRUE)),"✓","✗"))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","")&amp;",")),K$10:K$209))))&lt;=1,TRUE),IF(OR(ISNUMBER(L114),L114="-"),ABS(N(L114)-(IF(ISNUMBER(SEARCH(":",SUBSTITUTE($R114," ",""))),SUM(INDIRECT("L"&amp;LEFT(SUBSTITUTE($R114," ",""),SEARCH(":",SUBSTITUTE($R114," ",""))-1)&amp;":L"&amp;MID(SUBSTITUTE($R114," ",""),SEARCH(":",SUBSTITUTE($R114," ",""))+1,10))),SUMPRODUCT(--ISNUMBER(SEARCH(","&amp;ROW(L$10:L$209)&amp;",",","&amp;SUBSTITUTE($R114," ","")&amp;",")),L$10:L$209)-SUMPRODUCT(--ISNUMBER(SEARCH(",-"&amp;ROW(L$10:L$209)&amp;",",","&amp;SUBSTITUTE($R114," ","")&amp;",")),L$10:L$209))))&lt;=1,TRUE)),"✓","✗"))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","")&amp;",")),K$10:K$209))))&lt;=1,TRUE),IF(OR(ISNUMBER(L115),L115="-"),ABS(N(L115)-(IF(ISNUMBER(SEARCH(":",SUBSTITUTE($R115," ",""))),SUM(INDIRECT("L"&amp;LEFT(SUBSTITUTE($R115," ",""),SEARCH(":",SUBSTITUTE($R115," ",""))-1)&amp;":L"&amp;MID(SUBSTITUTE($R115," ",""),SEARCH(":",SUBSTITUTE($R115," ",""))+1,10))),SUMPRODUCT(--ISNUMBER(SEARCH(","&amp;ROW(L$10:L$209)&amp;",",","&amp;SUBSTITUTE($R115," ","")&amp;",")),L$10:L$209)-SUMPRODUCT(--ISNUMBER(SEARCH(",-"&amp;ROW(L$10:L$209)&amp;",",","&amp;SUBSTITUTE($R115," ","")&amp;",")),L$10:L$209))))&lt;=1,TRUE)),"✓","✗"))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","")&amp;",")),K$10:K$209))))&lt;=1,TRUE),IF(OR(ISNUMBER(L116),L116="-"),ABS(N(L116)-(IF(ISNUMBER(SEARCH(":",SUBSTITUTE($R116," ",""))),SUM(INDIRECT("L"&amp;LEFT(SUBSTITUTE($R116," ",""),SEARCH(":",SUBSTITUTE($R116," ",""))-1)&amp;":L"&amp;MID(SUBSTITUTE($R116," ",""),SEARCH(":",SUBSTITUTE($R116," ",""))+1,10))),SUMPRODUCT(--ISNUMBER(SEARCH(","&amp;ROW(L$10:L$209)&amp;",",","&amp;SUBSTITUTE($R116," ","")&amp;",")),L$10:L$209)-SUMPRODUCT(--ISNUMBER(SEARCH(",-"&amp;ROW(L$10:L$209)&amp;",",","&amp;SUBSTITUTE($R116," ","")&amp;",")),L$10:L$209))))&lt;=1,TRUE)),"✓","✗"))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","")&amp;",")),K$10:K$209))))&lt;=1,TRUE),IF(OR(ISNUMBER(L117),L117="-"),ABS(N(L117)-(IF(ISNUMBER(SEARCH(":",SUBSTITUTE($R117," ",""))),SUM(INDIRECT("L"&amp;LEFT(SUBSTITUTE($R117," ",""),SEARCH(":",SUBSTITUTE($R117," ",""))-1)&amp;":L"&amp;MID(SUBSTITUTE($R117," ",""),SEARCH(":",SUBSTITUTE($R117," ",""))+1,10))),SUMPRODUCT(--ISNUMBER(SEARCH(","&amp;ROW(L$10:L$209)&amp;",",","&amp;SUBSTITUTE($R117," ","")&amp;",")),L$10:L$209)-SUMPRODUCT(--ISNUMBER(SEARCH(",-"&amp;ROW(L$10:L$209)&amp;",",","&amp;SUBSTITUTE($R117," ","")&amp;",")),L$10:L$209))))&lt;=1,TRUE)),"✓","✗"))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","")&amp;",")),K$10:K$209))))&lt;=1,TRUE),IF(OR(ISNUMBER(L118),L118="-"),ABS(N(L118)-(IF(ISNUMBER(SEARCH(":",SUBSTITUTE($R118," ",""))),SUM(INDIRECT("L"&amp;LEFT(SUBSTITUTE($R118," ",""),SEARCH(":",SUBSTITUTE($R118," ",""))-1)&amp;":L"&amp;MID(SUBSTITUTE($R118," ",""),SEARCH(":",SUBSTITUTE($R118," ",""))+1,10))),SUMPRODUCT(--ISNUMBER(SEARCH(","&amp;ROW(L$10:L$209)&amp;",",","&amp;SUBSTITUTE($R118," ","")&amp;",")),L$10:L$209)-SUMPRODUCT(--ISNUMBER(SEARCH(",-"&amp;ROW(L$10:L$209)&amp;",",","&amp;SUBSTITUTE($R118," ","")&amp;",")),L$10:L$209))))&lt;=1,TRUE)),"✓","✗"))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","")&amp;",")),K$10:K$209))))&lt;=1,TRUE),IF(OR(ISNUMBER(L119),L119="-"),ABS(N(L119)-(IF(ISNUMBER(SEARCH(":",SUBSTITUTE($R119," ",""))),SUM(INDIRECT("L"&amp;LEFT(SUBSTITUTE($R119," ",""),SEARCH(":",SUBSTITUTE($R119," ",""))-1)&amp;":L"&amp;MID(SUBSTITUTE($R119," ",""),SEARCH(":",SUBSTITUTE($R119," ",""))+1,10))),SUMPRODUCT(--ISNUMBER(SEARCH(","&amp;ROW(L$10:L$209)&amp;",",","&amp;SUBSTITUTE($R119," ","")&amp;",")),L$10:L$209)-SUMPRODUCT(--ISNUMBER(SEARCH(",-"&amp;ROW(L$10:L$209)&amp;",",","&amp;SUBSTITUTE($R119," ","")&amp;",")),L$10:L$209))))&lt;=1,TRUE)),"✓","✗"))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","")&amp;",")),K$10:K$209))))&lt;=1,TRUE),IF(OR(ISNUMBER(L120),L120="-"),ABS(N(L120)-(IF(ISNUMBER(SEARCH(":",SUBSTITUTE($R120," ",""))),SUM(INDIRECT("L"&amp;LEFT(SUBSTITUTE($R120," ",""),SEARCH(":",SUBSTITUTE($R120," ",""))-1)&amp;":L"&amp;MID(SUBSTITUTE($R120," ",""),SEARCH(":",SUBSTITUTE($R120," ",""))+1,10))),SUMPRODUCT(--ISNUMBER(SEARCH(","&amp;ROW(L$10:L$209)&amp;",",","&amp;SUBSTITUTE($R120," ","")&amp;",")),L$10:L$209)-SUMPRODUCT(--ISNUMBER(SEARCH(",-"&amp;ROW(L$10:L$209)&amp;",",","&amp;SUBSTITUTE($R120," ","")&amp;",")),L$10:L$209))))&lt;=1,TRUE)),"✓","✗"))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","")&amp;",")),K$10:K$209))))&lt;=1,TRUE),IF(OR(ISNUMBER(L121),L121="-"),ABS(N(L121)-(IF(ISNUMBER(SEARCH(":",SUBSTITUTE($R121," ",""))),SUM(INDIRECT("L"&amp;LEFT(SUBSTITUTE($R121," ",""),SEARCH(":",SUBSTITUTE($R121," ",""))-1)&amp;":L"&amp;MID(SUBSTITUTE($R121," ",""),SEARCH(":",SUBSTITUTE($R121," ",""))+1,10))),SUMPRODUCT(--ISNUMBER(SEARCH(","&amp;ROW(L$10:L$209)&amp;",",","&amp;SUBSTITUTE($R121," ","")&amp;",")),L$10:L$209)-SUMPRODUCT(--ISNUMBER(SEARCH(",-"&amp;ROW(L$10:L$209)&amp;",",","&amp;SUBSTITUTE($R121," ","")&amp;",")),L$10:L$209))))&lt;=1,TRUE)),"✓","✗"))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","")&amp;",")),K$10:K$209))))&lt;=1,TRUE),IF(OR(ISNUMBER(L122),L122="-"),ABS(N(L122)-(IF(ISNUMBER(SEARCH(":",SUBSTITUTE($R122," ",""))),SUM(INDIRECT("L"&amp;LEFT(SUBSTITUTE($R122," ",""),SEARCH(":",SUBSTITUTE($R122," ",""))-1)&amp;":L"&amp;MID(SUBSTITUTE($R122," ",""),SEARCH(":",SUBSTITUTE($R122," ",""))+1,10))),SUMPRODUCT(--ISNUMBER(SEARCH(","&amp;ROW(L$10:L$209)&amp;",",","&amp;SUBSTITUTE($R122," ","")&amp;",")),L$10:L$209)-SUMPRODUCT(--ISNUMBER(SEARCH(",-"&amp;ROW(L$10:L$209)&amp;",",","&amp;SUBSTITUTE($R122," ","")&amp;",")),L$10:L$209))))&lt;=1,TRUE)),"✓","✗"))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","")&amp;",")),K$10:K$209))))&lt;=1,TRUE),IF(OR(ISNUMBER(L123),L123="-"),ABS(N(L123)-(IF(ISNUMBER(SEARCH(":",SUBSTITUTE($R123," ",""))),SUM(INDIRECT("L"&amp;LEFT(SUBSTITUTE($R123," ",""),SEARCH(":",SUBSTITUTE($R123," ",""))-1)&amp;":L"&amp;MID(SUBSTITUTE($R123," ",""),SEARCH(":",SUBSTITUTE($R123," ",""))+1,10))),SUMPRODUCT(--ISNUMBER(SEARCH(","&amp;ROW(L$10:L$209)&amp;",",","&amp;SUBSTITUTE($R123," ","")&amp;",")),L$10:L$209)-SUMPRODUCT(--ISNUMBER(SEARCH(",-"&amp;ROW(L$10:L$209)&amp;",",","&amp;SUBSTITUTE($R123," ","")&amp;",")),L$10:L$209))))&lt;=1,TRUE)),"✓","✗"))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","")&amp;",")),K$10:K$209))))&lt;=1,TRUE),IF(OR(ISNUMBER(L124),L124="-"),ABS(N(L124)-(IF(ISNUMBER(SEARCH(":",SUBSTITUTE($R124," ",""))),SUM(INDIRECT("L"&amp;LEFT(SUBSTITUTE($R124," ",""),SEARCH(":",SUBSTITUTE($R124," ",""))-1)&amp;":L"&amp;MID(SUBSTITUTE($R124," ",""),SEARCH(":",SUBSTITUTE($R124," ",""))+1,10))),SUMPRODUCT(--ISNUMBER(SEARCH(","&amp;ROW(L$10:L$209)&amp;",",","&amp;SUBSTITUTE($R124," ","")&amp;",")),L$10:L$209)-SUMPRODUCT(--ISNUMBER(SEARCH(",-"&amp;ROW(L$10:L$209)&amp;",",","&amp;SUBSTITUTE($R124," ","")&amp;",")),L$10:L$209))))&lt;=1,TRUE)),"✓","✗"))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","")&amp;",")),K$10:K$209))))&lt;=1,TRUE),IF(OR(ISNUMBER(L125),L125="-"),ABS(N(L125)-(IF(ISNUMBER(SEARCH(":",SUBSTITUTE($R125," ",""))),SUM(INDIRECT("L"&amp;LEFT(SUBSTITUTE($R125," ",""),SEARCH(":",SUBSTITUTE($R125," ",""))-1)&amp;":L"&amp;MID(SUBSTITUTE($R125," ",""),SEARCH(":",SUBSTITUTE($R125," ",""))+1,10))),SUMPRODUCT(--ISNUMBER(SEARCH(","&amp;ROW(L$10:L$209)&amp;",",","&amp;SUBSTITUTE($R125," ","")&amp;",")),L$10:L$209)-SUMPRODUCT(--ISNUMBER(SEARCH(",-"&amp;ROW(L$10:L$209)&amp;",",","&amp;SUBSTITUTE($R125," ","")&amp;",")),L$10:L$209))))&lt;=1,TRUE)),"✓","✗"))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","")&amp;",")),K$10:K$209))))&lt;=1,TRUE),IF(OR(ISNUMBER(L126),L126="-"),ABS(N(L126)-(IF(ISNUMBER(SEARCH(":",SUBSTITUTE($R126," ",""))),SUM(INDIRECT("L"&amp;LEFT(SUBSTITUTE($R126," ",""),SEARCH(":",SUBSTITUTE($R126," ",""))-1)&amp;":L"&amp;MID(SUBSTITUTE($R126," ",""),SEARCH(":",SUBSTITUTE($R126," ",""))+1,10))),SUMPRODUCT(--ISNUMBER(SEARCH(","&amp;ROW(L$10:L$209)&amp;",",","&amp;SUBSTITUTE($R126," ","")&amp;",")),L$10:L$209)-SUMPRODUCT(--ISNUMBER(SEARCH(",-"&amp;ROW(L$10:L$209)&amp;",",","&amp;SUBSTITUTE($R126," ","")&amp;",")),L$10:L$209))))&lt;=1,TRUE)),"✓","✗"))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","")&amp;",")),K$10:K$209))))&lt;=1,TRUE),IF(OR(ISNUMBER(L127),L127="-"),ABS(N(L127)-(IF(ISNUMBER(SEARCH(":",SUBSTITUTE($R127," ",""))),SUM(INDIRECT("L"&amp;LEFT(SUBSTITUTE($R127," ",""),SEARCH(":",SUBSTITUTE($R127," ",""))-1)&amp;":L"&amp;MID(SUBSTITUTE($R127," ",""),SEARCH(":",SUBSTITUTE($R127," ",""))+1,10))),SUMPRODUCT(--ISNUMBER(SEARCH(","&amp;ROW(L$10:L$209)&amp;",",","&amp;SUBSTITUTE($R127," ","")&amp;",")),L$10:L$209)-SUMPRODUCT(--ISNUMBER(SEARCH(",-"&amp;ROW(L$10:L$209)&amp;",",","&amp;SUBSTITUTE($R127," ","")&amp;",")),L$10:L$209))))&lt;=1,TRUE)),"✓","✗"))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","")&amp;",")),K$10:K$209))))&lt;=1,TRUE),IF(OR(ISNUMBER(L128),L128="-"),ABS(N(L128)-(IF(ISNUMBER(SEARCH(":",SUBSTITUTE($R128," ",""))),SUM(INDIRECT("L"&amp;LEFT(SUBSTITUTE($R128," ",""),SEARCH(":",SUBSTITUTE($R128," ",""))-1)&amp;":L"&amp;MID(SUBSTITUTE($R128," ",""),SEARCH(":",SUBSTITUTE($R128," ",""))+1,10))),SUMPRODUCT(--ISNUMBER(SEARCH(","&amp;ROW(L$10:L$209)&amp;",",","&amp;SUBSTITUTE($R128," ","")&amp;",")),L$10:L$209)-SUMPRODUCT(--ISNUMBER(SEARCH(",-"&amp;ROW(L$10:L$209)&amp;",",","&amp;SUBSTITUTE($R128," ","")&amp;",")),L$10:L$209))))&lt;=1,TRUE)),"✓","✗"))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","")&amp;",")),K$10:K$209))))&lt;=1,TRUE),IF(OR(ISNUMBER(L129),L129="-"),ABS(N(L129)-(IF(ISNUMBER(SEARCH(":",SUBSTITUTE($R129," ",""))),SUM(INDIRECT("L"&amp;LEFT(SUBSTITUTE($R129," ",""),SEARCH(":",SUBSTITUTE($R129," ",""))-1)&amp;":L"&amp;MID(SUBSTITUTE($R129," ",""),SEARCH(":",SUBSTITUTE($R129," ",""))+1,10))),SUMPRODUCT(--ISNUMBER(SEARCH(","&amp;ROW(L$10:L$209)&amp;",",","&amp;SUBSTITUTE($R129," ","")&amp;",")),L$10:L$209)-SUMPRODUCT(--ISNUMBER(SEARCH(",-"&amp;ROW(L$10:L$209)&amp;",",","&amp;SUBSTITUTE($R129," ","")&amp;",")),L$10:L$209))))&lt;=1,TRUE)),"✓","✗"))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","")&amp;",")),K$10:K$209))))&lt;=1,TRUE),IF(OR(ISNUMBER(L130),L130="-"),ABS(N(L130)-(IF(ISNUMBER(SEARCH(":",SUBSTITUTE($R130," ",""))),SUM(INDIRECT("L"&amp;LEFT(SUBSTITUTE($R130," ",""),SEARCH(":",SUBSTITUTE($R130," ",""))-1)&amp;":L"&amp;MID(SUBSTITUTE($R130," ",""),SEARCH(":",SUBSTITUTE($R130," ",""))+1,10))),SUMPRODUCT(--ISNUMBER(SEARCH(","&amp;ROW(L$10:L$209)&amp;",",","&amp;SUBSTITUTE($R130," ","")&amp;",")),L$10:L$209)-SUMPRODUCT(--ISNUMBER(SEARCH(",-"&amp;ROW(L$10:L$209)&amp;",",","&amp;SUBSTITUTE($R130," ","")&amp;",")),L$10:L$209))))&lt;=1,TRUE)),"✓","✗"))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","")&amp;",")),K$10:K$209))))&lt;=1,TRUE),IF(OR(ISNUMBER(L131),L131="-"),ABS(N(L131)-(IF(ISNUMBER(SEARCH(":",SUBSTITUTE($R131," ",""))),SUM(INDIRECT("L"&amp;LEFT(SUBSTITUTE($R131," ",""),SEARCH(":",SUBSTITUTE($R131," ",""))-1)&amp;":L"&amp;MID(SUBSTITUTE($R131," ",""),SEARCH(":",SUBSTITUTE($R131," ",""))+1,10))),SUMPRODUCT(--ISNUMBER(SEARCH(","&amp;ROW(L$10:L$209)&amp;",",","&amp;SUBSTITUTE($R131," ","")&amp;",")),L$10:L$209)-SUMPRODUCT(--ISNUMBER(SEARCH(",-"&amp;ROW(L$10:L$209)&amp;",",","&amp;SUBSTITUTE($R131," ","")&amp;",")),L$10:L$209))))&lt;=1,TRUE)),"✓","✗"))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","")&amp;",")),K$10:K$209))))&lt;=1,TRUE),IF(OR(ISNUMBER(L132),L132="-"),ABS(N(L132)-(IF(ISNUMBER(SEARCH(":",SUBSTITUTE($R132," ",""))),SUM(INDIRECT("L"&amp;LEFT(SUBSTITUTE($R132," ",""),SEARCH(":",SUBSTITUTE($R132," ",""))-1)&amp;":L"&amp;MID(SUBSTITUTE($R132," ",""),SEARCH(":",SUBSTITUTE($R132," ",""))+1,10))),SUMPRODUCT(--ISNUMBER(SEARCH(","&amp;ROW(L$10:L$209)&amp;",",","&amp;SUBSTITUTE($R132," ","")&amp;",")),L$10:L$209)-SUMPRODUCT(--ISNUMBER(SEARCH(",-"&amp;ROW(L$10:L$209)&amp;",",","&amp;SUBSTITUTE($R132," ","")&amp;",")),L$10:L$209))))&lt;=1,TRUE)),"✓","✗"))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","")&amp;",")),K$10:K$209))))&lt;=1,TRUE),IF(OR(ISNUMBER(L133),L133="-"),ABS(N(L133)-(IF(ISNUMBER(SEARCH(":",SUBSTITUTE($R133," ",""))),SUM(INDIRECT("L"&amp;LEFT(SUBSTITUTE($R133," ",""),SEARCH(":",SUBSTITUTE($R133," ",""))-1)&amp;":L"&amp;MID(SUBSTITUTE($R133," ",""),SEARCH(":",SUBSTITUTE($R133," ",""))+1,10))),SUMPRODUCT(--ISNUMBER(SEARCH(","&amp;ROW(L$10:L$209)&amp;",",","&amp;SUBSTITUTE($R133," ","")&amp;",")),L$10:L$209)-SUMPRODUCT(--ISNUMBER(SEARCH(",-"&amp;ROW(L$10:L$209)&amp;",",","&amp;SUBSTITUTE($R133," ","")&amp;",")),L$10:L$209))))&lt;=1,TRUE)),"✓","✗"))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","")&amp;",")),K$10:K$209))))&lt;=1,TRUE),IF(OR(ISNUMBER(L134),L134="-"),ABS(N(L134)-(IF(ISNUMBER(SEARCH(":",SUBSTITUTE($R134," ",""))),SUM(INDIRECT("L"&amp;LEFT(SUBSTITUTE($R134," ",""),SEARCH(":",SUBSTITUTE($R134," ",""))-1)&amp;":L"&amp;MID(SUBSTITUTE($R134," ",""),SEARCH(":",SUBSTITUTE($R134," ",""))+1,10))),SUMPRODUCT(--ISNUMBER(SEARCH(","&amp;ROW(L$10:L$209)&amp;",",","&amp;SUBSTITUTE($R134," ","")&amp;",")),L$10:L$209)-SUMPRODUCT(--ISNUMBER(SEARCH(",-"&amp;ROW(L$10:L$209)&amp;",",","&amp;SUBSTITUTE($R134," ","")&amp;",")),L$10:L$209))))&lt;=1,TRUE)),"✓","✗"))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","")&amp;",")),K$10:K$209))))&lt;=1,TRUE),IF(OR(ISNUMBER(L135),L135="-"),ABS(N(L135)-(IF(ISNUMBER(SEARCH(":",SUBSTITUTE($R135," ",""))),SUM(INDIRECT("L"&amp;LEFT(SUBSTITUTE($R135," ",""),SEARCH(":",SUBSTITUTE($R135," ",""))-1)&amp;":L"&amp;MID(SUBSTITUTE($R135," ",""),SEARCH(":",SUBSTITUTE($R135," ",""))+1,10))),SUMPRODUCT(--ISNUMBER(SEARCH(","&amp;ROW(L$10:L$209)&amp;",",","&amp;SUBSTITUTE($R135," ","")&amp;",")),L$10:L$209)-SUMPRODUCT(--ISNUMBER(SEARCH(",-"&amp;ROW(L$10:L$209)&amp;",",","&amp;SUBSTITUTE($R135," ","")&amp;",")),L$10:L$209))))&lt;=1,TRUE)),"✓","✗"))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","")&amp;",")),K$10:K$209))))&lt;=1,TRUE),IF(OR(ISNUMBER(L136),L136="-"),ABS(N(L136)-(IF(ISNUMBER(SEARCH(":",SUBSTITUTE($R136," ",""))),SUM(INDIRECT("L"&amp;LEFT(SUBSTITUTE($R136," ",""),SEARCH(":",SUBSTITUTE($R136," ",""))-1)&amp;":L"&amp;MID(SUBSTITUTE($R136," ",""),SEARCH(":",SUBSTITUTE($R136," ",""))+1,10))),SUMPRODUCT(--ISNUMBER(SEARCH(","&amp;ROW(L$10:L$209)&amp;",",","&amp;SUBSTITUTE($R136," ","")&amp;",")),L$10:L$209)-SUMPRODUCT(--ISNUMBER(SEARCH(",-"&amp;ROW(L$10:L$209)&amp;",",","&amp;SUBSTITUTE($R136," ","")&amp;",")),L$10:L$209))))&lt;=1,TRUE)),"✓","✗"))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","")&amp;",")),K$10:K$209))))&lt;=1,TRUE),IF(OR(ISNUMBER(L137),L137="-"),ABS(N(L137)-(IF(ISNUMBER(SEARCH(":",SUBSTITUTE($R137," ",""))),SUM(INDIRECT("L"&amp;LEFT(SUBSTITUTE($R137," ",""),SEARCH(":",SUBSTITUTE($R137," ",""))-1)&amp;":L"&amp;MID(SUBSTITUTE($R137," ",""),SEARCH(":",SUBSTITUTE($R137," ",""))+1,10))),SUMPRODUCT(--ISNUMBER(SEARCH(","&amp;ROW(L$10:L$209)&amp;",",","&amp;SUBSTITUTE($R137," ","")&amp;",")),L$10:L$209)-SUMPRODUCT(--ISNUMBER(SEARCH(",-"&amp;ROW(L$10:L$209)&amp;",",","&amp;SUBSTITUTE($R137," ","")&amp;",")),L$10:L$209))))&lt;=1,TRUE)),"✓","✗"))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","")&amp;",")),K$10:K$209))))&lt;=1,TRUE),IF(OR(ISNUMBER(L139),L139="-"),ABS(N(L139)-(IF(ISNUMBER(SEARCH(":",SUBSTITUTE($R139," ",""))),SUM(INDIRECT("L"&amp;LEFT(SUBSTITUTE($R139," ",""),SEARCH(":",SUBSTITUTE($R139," ",""))-1)&amp;":L"&amp;MID(SUBSTITUTE($R139," ",""),SEARCH(":",SUBSTITUTE($R139," ",""))+1,10))),SUMPRODUCT(--ISNUMBER(SEARCH(","&amp;ROW(L$10:L$209)&amp;",",","&amp;SUBSTITUTE($R139," ","")&amp;",")),L$10:L$209)-SUMPRODUCT(--ISNUMBER(SEARCH(",-"&amp;ROW(L$10:L$209)&amp;",",","&amp;SUBSTITUTE($R139," ","")&amp;",")),L$10:L$209))))&lt;=1,TRUE)),"✓","✗"))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","")&amp;",")),K$10:K$209))))&lt;=1,TRUE),IF(OR(ISNUMBER(L140),L140="-"),ABS(N(L140)-(IF(ISNUMBER(SEARCH(":",SUBSTITUTE($R140," ",""))),SUM(INDIRECT("L"&amp;LEFT(SUBSTITUTE($R140," ",""),SEARCH(":",SUBSTITUTE($R140," ",""))-1)&amp;":L"&amp;MID(SUBSTITUTE($R140," ",""),SEARCH(":",SUBSTITUTE($R140," ",""))+1,10))),SUMPRODUCT(--ISNUMBER(SEARCH(","&amp;ROW(L$10:L$209)&amp;",",","&amp;SUBSTITUTE($R140," ","")&amp;",")),L$10:L$209)-SUMPRODUCT(--ISNUMBER(SEARCH(",-"&amp;ROW(L$10:L$209)&amp;",",","&amp;SUBSTITUTE($R140," ","")&amp;",")),L$10:L$209))))&lt;=1,TRUE)),"✓","✗"))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","")&amp;",")),K$10:K$209))))&lt;=1,TRUE),IF(OR(ISNUMBER(L141),L141="-"),ABS(N(L141)-(IF(ISNUMBER(SEARCH(":",SUBSTITUTE($R141," ",""))),SUM(INDIRECT("L"&amp;LEFT(SUBSTITUTE($R141," ",""),SEARCH(":",SUBSTITUTE($R141," ",""))-1)&amp;":L"&amp;MID(SUBSTITUTE($R141," ",""),SEARCH(":",SUBSTITUTE($R141," ",""))+1,10))),SUMPRODUCT(--ISNUMBER(SEARCH(","&amp;ROW(L$10:L$209)&amp;",",","&amp;SUBSTITUTE($R141," ","")&amp;",")),L$10:L$209)-SUMPRODUCT(--ISNUMBER(SEARCH(",-"&amp;ROW(L$10:L$209)&amp;",",","&amp;SUBSTITUTE($R141," ","")&amp;",")),L$10:L$209))))&lt;=1,TRUE)),"✓","✗"))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","")&amp;",")),K$10:K$209))))&lt;=1,TRUE),IF(OR(ISNUMBER(L142),L142="-"),ABS(N(L142)-(IF(ISNUMBER(SEARCH(":",SUBSTITUTE($R142," ",""))),SUM(INDIRECT("L"&amp;LEFT(SUBSTITUTE($R142," ",""),SEARCH(":",SUBSTITUTE($R142," ",""))-1)&amp;":L"&amp;MID(SUBSTITUTE($R142," ",""),SEARCH(":",SUBSTITUTE($R142," ",""))+1,10))),SUMPRODUCT(--ISNUMBER(SEARCH(","&amp;ROW(L$10:L$209)&amp;",",","&amp;SUBSTITUTE($R142," ","")&amp;",")),L$10:L$209)-SUMPRODUCT(--ISNUMBER(SEARCH(",-"&amp;ROW(L$10:L$209)&amp;",",","&amp;SUBSTITUTE($R142," ","")&amp;",")),L$10:L$209))))&lt;=1,TRUE)),"✓","✗"))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","")&amp;",")),K$10:K$209))))&lt;=1,TRUE),IF(OR(ISNUMBER(L143),L143="-"),ABS(N(L143)-(IF(ISNUMBER(SEARCH(":",SUBSTITUTE($R143," ",""))),SUM(INDIRECT("L"&amp;LEFT(SUBSTITUTE($R143," ",""),SEARCH(":",SUBSTITUTE($R143," ",""))-1)&amp;":L"&amp;MID(SUBSTITUTE($R143," ",""),SEARCH(":",SUBSTITUTE($R143," ",""))+1,10))),SUMPRODUCT(--ISNUMBER(SEARCH(","&amp;ROW(L$10:L$209)&amp;",",","&amp;SUBSTITUTE($R143," ","")&amp;",")),L$10:L$209)-SUMPRODUCT(--ISNUMBER(SEARCH(",-"&amp;ROW(L$10:L$209)&amp;",",","&amp;SUBSTITUTE($R143," ","")&amp;",")),L$10:L$209))))&lt;=1,TRUE)),"✓","✗"))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","")&amp;",")),K$10:K$209))))&lt;=1,TRUE),IF(OR(ISNUMBER(L144),L144="-"),ABS(N(L144)-(IF(ISNUMBER(SEARCH(":",SUBSTITUTE($R144," ",""))),SUM(INDIRECT("L"&amp;LEFT(SUBSTITUTE($R144," ",""),SEARCH(":",SUBSTITUTE($R144," ",""))-1)&amp;":L"&amp;MID(SUBSTITUTE($R144," ",""),SEARCH(":",SUBSTITUTE($R144," ",""))+1,10))),SUMPRODUCT(--ISNUMBER(SEARCH(","&amp;ROW(L$10:L$209)&amp;",",","&amp;SUBSTITUTE($R144," ","")&amp;",")),L$10:L$209)-SUMPRODUCT(--ISNUMBER(SEARCH(",-"&amp;ROW(L$10:L$209)&amp;",",","&amp;SUBSTITUTE($R144," ","")&amp;",")),L$10:L$209))))&lt;=1,TRUE)),"✓","✗"))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","")&amp;",")),K$10:K$209))))&lt;=1,TRUE),IF(OR(ISNUMBER(L145),L145="-"),ABS(N(L145)-(IF(ISNUMBER(SEARCH(":",SUBSTITUTE($R145," ",""))),SUM(INDIRECT("L"&amp;LEFT(SUBSTITUTE($R145," ",""),SEARCH(":",SUBSTITUTE($R145," ",""))-1)&amp;":L"&amp;MID(SUBSTITUTE($R145," ",""),SEARCH(":",SUBSTITUTE($R145," ",""))+1,10))),SUMPRODUCT(--ISNUMBER(SEARCH(","&amp;ROW(L$10:L$209)&amp;",",","&amp;SUBSTITUTE($R145," ","")&amp;",")),L$10:L$209)-SUMPRODUCT(--ISNUMBER(SEARCH(",-"&amp;ROW(L$10:L$209)&amp;",",","&amp;SUBSTITUTE($R145," ","")&amp;",")),L$10:L$209))))&lt;=1,TRUE)),"✓","✗"))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","")&amp;",")),K$10:K$209))))&lt;=1,TRUE),IF(OR(ISNUMBER(L146),L146="-"),ABS(N(L146)-(IF(ISNUMBER(SEARCH(":",SUBSTITUTE($R146," ",""))),SUM(INDIRECT("L"&amp;LEFT(SUBSTITUTE($R146," ",""),SEARCH(":",SUBSTITUTE($R146," ",""))-1)&amp;":L"&amp;MID(SUBSTITUTE($R146," ",""),SEARCH(":",SUBSTITUTE($R146," ",""))+1,10))),SUMPRODUCT(--ISNUMBER(SEARCH(","&amp;ROW(L$10:L$209)&amp;",",","&amp;SUBSTITUTE($R146," ","")&amp;",")),L$10:L$209)-SUMPRODUCT(--ISNUMBER(SEARCH(",-"&amp;ROW(L$10:L$209)&amp;",",","&amp;SUBSTITUTE($R146," ","")&amp;",")),L$10:L$209))))&lt;=1,TRUE)),"✓","✗"))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","")&amp;",")),K$10:K$209))))&lt;=1,TRUE),IF(OR(ISNUMBER(L147),L147="-"),ABS(N(L147)-(IF(ISNUMBER(SEARCH(":",SUBSTITUTE($R147," ",""))),SUM(INDIRECT("L"&amp;LEFT(SUBSTITUTE($R147," ",""),SEARCH(":",SUBSTITUTE($R147," ",""))-1)&amp;":L"&amp;MID(SUBSTITUTE($R147," ",""),SEARCH(":",SUBSTITUTE($R147," ",""))+1,10))),SUMPRODUCT(--ISNUMBER(SEARCH(","&amp;ROW(L$10:L$209)&amp;",",","&amp;SUBSTITUTE($R147," ","")&amp;",")),L$10:L$209)-SUMPRODUCT(--ISNUMBER(SEARCH(",-"&amp;ROW(L$10:L$209)&amp;",",","&amp;SUBSTITUTE($R147," ","")&amp;",")),L$10:L$209))))&lt;=1,TRUE)),"✓","✗"))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","")&amp;",")),K$10:K$209))))&lt;=1,TRUE),IF(OR(ISNUMBER(L148),L148="-"),ABS(N(L148)-(IF(ISNUMBER(SEARCH(":",SUBSTITUTE($R148," ",""))),SUM(INDIRECT("L"&amp;LEFT(SUBSTITUTE($R148," ",""),SEARCH(":",SUBSTITUTE($R148," ",""))-1)&amp;":L"&amp;MID(SUBSTITUTE($R148," ",""),SEARCH(":",SUBSTITUTE($R148," ",""))+1,10))),SUMPRODUCT(--ISNUMBER(SEARCH(","&amp;ROW(L$10:L$209)&amp;",",","&amp;SUBSTITUTE($R148," ","")&amp;",")),L$10:L$209)-SUMPRODUCT(--ISNUMBER(SEARCH(",-"&amp;ROW(L$10:L$209)&amp;",",","&amp;SUBSTITUTE($R148," ","")&amp;",")),L$10:L$209))))&lt;=1,TRUE)),"✓","✗"))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","")&amp;",")),K$10:K$209))))&lt;=1,TRUE),IF(OR(ISNUMBER(L149),L149="-"),ABS(N(L149)-(IF(ISNUMBER(SEARCH(":",SUBSTITUTE($R149," ",""))),SUM(INDIRECT("L"&amp;LEFT(SUBSTITUTE($R149," ",""),SEARCH(":",SUBSTITUTE($R149," ",""))-1)&amp;":L"&amp;MID(SUBSTITUTE($R149," ",""),SEARCH(":",SUBSTITUTE($R149," ",""))+1,10))),SUMPRODUCT(--ISNUMBER(SEARCH(","&amp;ROW(L$10:L$209)&amp;",",","&amp;SUBSTITUTE($R149," ","")&amp;",")),L$10:L$209)-SUMPRODUCT(--ISNUMBER(SEARCH(",-"&amp;ROW(L$10:L$209)&amp;",",","&amp;SUBSTITUTE($R149," ","")&amp;",")),L$10:L$209))))&lt;=1,TRUE)),"✓","✗"))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","")&amp;",")),K$10:K$209))))&lt;=1,TRUE),IF(OR(ISNUMBER(L150),L150="-"),ABS(N(L150)-(IF(ISNUMBER(SEARCH(":",SUBSTITUTE($R150," ",""))),SUM(INDIRECT("L"&amp;LEFT(SUBSTITUTE($R150," ",""),SEARCH(":",SUBSTITUTE($R150," ",""))-1)&amp;":L"&amp;MID(SUBSTITUTE($R150," ",""),SEARCH(":",SUBSTITUTE($R150," ",""))+1,10))),SUMPRODUCT(--ISNUMBER(SEARCH(","&amp;ROW(L$10:L$209)&amp;",",","&amp;SUBSTITUTE($R150," ","")&amp;",")),L$10:L$209)-SUMPRODUCT(--ISNUMBER(SEARCH(",-"&amp;ROW(L$10:L$209)&amp;",",","&amp;SUBSTITUTE($R150," ","")&amp;",")),L$10:L$209))))&lt;=1,TRUE)),"✓","✗"))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","")&amp;",")),K$10:K$209))))&lt;=1,TRUE),IF(OR(ISNUMBER(L151),L151="-"),ABS(N(L151)-(IF(ISNUMBER(SEARCH(":",SUBSTITUTE($R151," ",""))),SUM(INDIRECT("L"&amp;LEFT(SUBSTITUTE($R151," ",""),SEARCH(":",SUBSTITUTE($R151," ",""))-1)&amp;":L"&amp;MID(SUBSTITUTE($R151," ",""),SEARCH(":",SUBSTITUTE($R151," ",""))+1,10))),SUMPRODUCT(--ISNUMBER(SEARCH(","&amp;ROW(L$10:L$209)&amp;",",","&amp;SUBSTITUTE($R151," ","")&amp;",")),L$10:L$209)-SUMPRODUCT(--ISNUMBER(SEARCH(",-"&amp;ROW(L$10:L$209)&amp;",",","&amp;SUBSTITUTE($R151," ","")&amp;",")),L$10:L$209))))&lt;=1,TRUE)),"✓","✗"))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","")&amp;",")),K$10:K$209))))&lt;=1,TRUE),IF(OR(ISNUMBER(L152),L152="-"),ABS(N(L152)-(IF(ISNUMBER(SEARCH(":",SUBSTITUTE($R152," ",""))),SUM(INDIRECT("L"&amp;LEFT(SUBSTITUTE($R152," ",""),SEARCH(":",SUBSTITUTE($R152," ",""))-1)&amp;":L"&amp;MID(SUBSTITUTE($R152," ",""),SEARCH(":",SUBSTITUTE($R152," ",""))+1,10))),SUMPRODUCT(--ISNUMBER(SEARCH(","&amp;ROW(L$10:L$209)&amp;",",","&amp;SUBSTITUTE($R152," ","")&amp;",")),L$10:L$209)-SUMPRODUCT(--ISNUMBER(SEARCH(",-"&amp;ROW(L$10:L$209)&amp;",",","&amp;SUBSTITUTE($R152," ","")&amp;",")),L$10:L$209))))&lt;=1,TRUE)),"✓","✗"))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","")&amp;",")),K$10:K$209))))&lt;=1,TRUE),IF(OR(ISNUMBER(L153),L153="-"),ABS(N(L153)-(IF(ISNUMBER(SEARCH(":",SUBSTITUTE($R153," ",""))),SUM(INDIRECT("L"&amp;LEFT(SUBSTITUTE($R153," ",""),SEARCH(":",SUBSTITUTE($R153," ",""))-1)&amp;":L"&amp;MID(SUBSTITUTE($R153," ",""),SEARCH(":",SUBSTITUTE($R153," ",""))+1,10))),SUMPRODUCT(--ISNUMBER(SEARCH(","&amp;ROW(L$10:L$209)&amp;",",","&amp;SUBSTITUTE($R153," ","")&amp;",")),L$10:L$209)-SUMPRODUCT(--ISNUMBER(SEARCH(",-"&amp;ROW(L$10:L$209)&amp;",",","&amp;SUBSTITUTE($R153," ","")&amp;",")),L$10:L$209))))&lt;=1,TRUE)),"✓","✗"))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","")&amp;",")),K$10:K$209))))&lt;=1,TRUE),IF(OR(ISNUMBER(L154),L154="-"),ABS(N(L154)-(IF(ISNUMBER(SEARCH(":",SUBSTITUTE($R154," ",""))),SUM(INDIRECT("L"&amp;LEFT(SUBSTITUTE($R154," ",""),SEARCH(":",SUBSTITUTE($R154," ",""))-1)&amp;":L"&amp;MID(SUBSTITUTE($R154," ",""),SEARCH(":",SUBSTITUTE($R154," ",""))+1,10))),SUMPRODUCT(--ISNUMBER(SEARCH(","&amp;ROW(L$10:L$209)&amp;",",","&amp;SUBSTITUTE($R154," ","")&amp;",")),L$10:L$209)-SUMPRODUCT(--ISNUMBER(SEARCH(",-"&amp;ROW(L$10:L$209)&amp;",",","&amp;SUBSTITUTE($R154," ","")&amp;",")),L$10:L$209))))&lt;=1,TRUE)),"✓","✗"))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","")&amp;",")),K$10:K$209))))&lt;=1,TRUE),IF(OR(ISNUMBER(L155),L155="-"),ABS(N(L155)-(IF(ISNUMBER(SEARCH(":",SUBSTITUTE($R155," ",""))),SUM(INDIRECT("L"&amp;LEFT(SUBSTITUTE($R155," ",""),SEARCH(":",SUBSTITUTE($R155," ",""))-1)&amp;":L"&amp;MID(SUBSTITUTE($R155," ",""),SEARCH(":",SUBSTITUTE($R155," ",""))+1,10))),SUMPRODUCT(--ISNUMBER(SEARCH(","&amp;ROW(L$10:L$209)&amp;",",","&amp;SUBSTITUTE($R155," ","")&amp;",")),L$10:L$209)-SUMPRODUCT(--ISNUMBER(SEARCH(",-"&amp;ROW(L$10:L$209)&amp;",",","&amp;SUBSTITUTE($R155," ","")&amp;",")),L$10:L$209))))&lt;=1,TRUE)),"✓","✗"))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","")&amp;",")),K$10:K$209))))&lt;=1,TRUE),IF(OR(ISNUMBER(L156),L156="-"),ABS(N(L156)-(IF(ISNUMBER(SEARCH(":",SUBSTITUTE($R156," ",""))),SUM(INDIRECT("L"&amp;LEFT(SUBSTITUTE($R156," ",""),SEARCH(":",SUBSTITUTE($R156," ",""))-1)&amp;":L"&amp;MID(SUBSTITUTE($R156," ",""),SEARCH(":",SUBSTITUTE($R156," ",""))+1,10))),SUMPRODUCT(--ISNUMBER(SEARCH(","&amp;ROW(L$10:L$209)&amp;",",","&amp;SUBSTITUTE($R156," ","")&amp;",")),L$10:L$209)-SUMPRODUCT(--ISNUMBER(SEARCH(",-"&amp;ROW(L$10:L$209)&amp;",",","&amp;SUBSTITUTE($R156," ","")&amp;",")),L$10:L$209))))&lt;=1,TRUE)),"✓","✗"))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","")&amp;",")),K$10:K$209))))&lt;=1,TRUE),IF(OR(ISNUMBER(L157),L157="-"),ABS(N(L157)-(IF(ISNUMBER(SEARCH(":",SUBSTITUTE($R157," ",""))),SUM(INDIRECT("L"&amp;LEFT(SUBSTITUTE($R157," ",""),SEARCH(":",SUBSTITUTE($R157," ",""))-1)&amp;":L"&amp;MID(SUBSTITUTE($R157," ",""),SEARCH(":",SUBSTITUTE($R157," ",""))+1,10))),SUMPRODUCT(--ISNUMBER(SEARCH(","&amp;ROW(L$10:L$209)&amp;",",","&amp;SUBSTITUTE($R157," ","")&amp;",")),L$10:L$209)-SUMPRODUCT(--ISNUMBER(SEARCH(",-"&amp;ROW(L$10:L$209)&amp;",",","&amp;SUBSTITUTE($R157," ","")&amp;",")),L$10:L$209))))&lt;=1,TRUE)),"✓","✗"))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","")&amp;",")),K$10:K$209))))&lt;=1,TRUE),IF(OR(ISNUMBER(L158),L158="-"),ABS(N(L158)-(IF(ISNUMBER(SEARCH(":",SUBSTITUTE($R158," ",""))),SUM(INDIRECT("L"&amp;LEFT(SUBSTITUTE($R158," ",""),SEARCH(":",SUBSTITUTE($R158," ",""))-1)&amp;":L"&amp;MID(SUBSTITUTE($R158," ",""),SEARCH(":",SUBSTITUTE($R158," ",""))+1,10))),SUMPRODUCT(--ISNUMBER(SEARCH(","&amp;ROW(L$10:L$209)&amp;",",","&amp;SUBSTITUTE($R158," ","")&amp;",")),L$10:L$209)-SUMPRODUCT(--ISNUMBER(SEARCH(",-"&amp;ROW(L$10:L$209)&amp;",",","&amp;SUBSTITUTE($R158," ","")&amp;",")),L$10:L$209))))&lt;=1,TRUE)),"✓","✗"))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","")&amp;",")),K$10:K$209))))&lt;=1,TRUE),IF(OR(ISNUMBER(L159),L159="-"),ABS(N(L159)-(IF(ISNUMBER(SEARCH(":",SUBSTITUTE($R159," ",""))),SUM(INDIRECT("L"&amp;LEFT(SUBSTITUTE($R159," ",""),SEARCH(":",SUBSTITUTE($R159," ",""))-1)&amp;":L"&amp;MID(SUBSTITUTE($R159," ",""),SEARCH(":",SUBSTITUTE($R159," ",""))+1,10))),SUMPRODUCT(--ISNUMBER(SEARCH(","&amp;ROW(L$10:L$209)&amp;",",","&amp;SUBSTITUTE($R159," ","")&amp;",")),L$10:L$209)-SUMPRODUCT(--ISNUMBER(SEARCH(",-"&amp;ROW(L$10:L$209)&amp;",",","&amp;SUBSTITUTE($R159," ","")&amp;",")),L$10:L$209))))&lt;=1,TRUE)),"✓","✗"))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","")&amp;",")),K$10:K$209))))&lt;=1,TRUE),IF(OR(ISNUMBER(L160),L160="-"),ABS(N(L160)-(IF(ISNUMBER(SEARCH(":",SUBSTITUTE($R160," ",""))),SUM(INDIRECT("L"&amp;LEFT(SUBSTITUTE($R160," ",""),SEARCH(":",SUBSTITUTE($R160," ",""))-1)&amp;":L"&amp;MID(SUBSTITUTE($R160," ",""),SEARCH(":",SUBSTITUTE($R160," ",""))+1,10))),SUMPRODUCT(--ISNUMBER(SEARCH(","&amp;ROW(L$10:L$209)&amp;",",","&amp;SUBSTITUTE($R160," ","")&amp;",")),L$10:L$209)-SUMPRODUCT(--ISNUMBER(SEARCH(",-"&amp;ROW(L$10:L$209)&amp;",",","&amp;SUBSTITUTE($R160," ","")&amp;",")),L$10:L$209))))&lt;=1,TRUE)),"✓","✗"))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","")&amp;",")),K$10:K$209))))&lt;=1,TRUE),IF(OR(ISNUMBER(L161),L161="-"),ABS(N(L161)-(IF(ISNUMBER(SEARCH(":",SUBSTITUTE($R161," ",""))),SUM(INDIRECT("L"&amp;LEFT(SUBSTITUTE($R161," ",""),SEARCH(":",SUBSTITUTE($R161," ",""))-1)&amp;":L"&amp;MID(SUBSTITUTE($R161," ",""),SEARCH(":",SUBSTITUTE($R161," ",""))+1,10))),SUMPRODUCT(--ISNUMBER(SEARCH(","&amp;ROW(L$10:L$209)&amp;",",","&amp;SUBSTITUTE($R161," ","")&amp;",")),L$10:L$209)-SUMPRODUCT(--ISNUMBER(SEARCH(",-"&amp;ROW(L$10:L$209)&amp;",",","&amp;SUBSTITUTE($R161," ","")&amp;",")),L$10:L$209))))&lt;=1,TRUE)),"✓","✗"))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","")&amp;",")),K$10:K$209))))&lt;=1,TRUE),IF(OR(ISNUMBER(L162),L162="-"),ABS(N(L162)-(IF(ISNUMBER(SEARCH(":",SUBSTITUTE($R162," ",""))),SUM(INDIRECT("L"&amp;LEFT(SUBSTITUTE($R162," ",""),SEARCH(":",SUBSTITUTE($R162," ",""))-1)&amp;":L"&amp;MID(SUBSTITUTE($R162," ",""),SEARCH(":",SUBSTITUTE($R162," ",""))+1,10))),SUMPRODUCT(--ISNUMBER(SEARCH(","&amp;ROW(L$10:L$209)&amp;",",","&amp;SUBSTITUTE($R162," ","")&amp;",")),L$10:L$209)-SUMPRODUCT(--ISNUMBER(SEARCH(",-"&amp;ROW(L$10:L$209)&amp;",",","&amp;SUBSTITUTE($R162," ","")&amp;",")),L$10:L$209))))&lt;=1,TRUE)),"✓","✗"))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","")&amp;",")),K$10:K$209))))&lt;=1,TRUE),IF(OR(ISNUMBER(L163),L163="-"),ABS(N(L163)-(IF(ISNUMBER(SEARCH(":",SUBSTITUTE($R163," ",""))),SUM(INDIRECT("L"&amp;LEFT(SUBSTITUTE($R163," ",""),SEARCH(":",SUBSTITUTE($R163," ",""))-1)&amp;":L"&amp;MID(SUBSTITUTE($R163," ",""),SEARCH(":",SUBSTITUTE($R163," ",""))+1,10))),SUMPRODUCT(--ISNUMBER(SEARCH(","&amp;ROW(L$10:L$209)&amp;",",","&amp;SUBSTITUTE($R163," ","")&amp;",")),L$10:L$209)-SUMPRODUCT(--ISNUMBER(SEARCH(",-"&amp;ROW(L$10:L$209)&amp;",",","&amp;SUBSTITUTE($R163," ","")&amp;",")),L$10:L$209))))&lt;=1,TRUE)),"✓","✗"))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","")&amp;",")),K$10:K$209))))&lt;=1,TRUE),IF(OR(ISNUMBER(L164),L164="-"),ABS(N(L164)-(IF(ISNUMBER(SEARCH(":",SUBSTITUTE($R164," ",""))),SUM(INDIRECT("L"&amp;LEFT(SUBSTITUTE($R164," ",""),SEARCH(":",SUBSTITUTE($R164," ",""))-1)&amp;":L"&amp;MID(SUBSTITUTE($R164," ",""),SEARCH(":",SUBSTITUTE($R164," ",""))+1,10))),SUMPRODUCT(--ISNUMBER(SEARCH(","&amp;ROW(L$10:L$209)&amp;",",","&amp;SUBSTITUTE($R164," ","")&amp;",")),L$10:L$209)-SUMPRODUCT(--ISNUMBER(SEARCH(",-"&amp;ROW(L$10:L$209)&amp;",",","&amp;SUBSTITUTE($R164," ","")&amp;",")),L$10:L$209))))&lt;=1,TRUE)),"✓","✗"))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","")&amp;",")),K$10:K$209))))&lt;=1,TRUE),IF(OR(ISNUMBER(L165),L165="-"),ABS(N(L165)-(IF(ISNUMBER(SEARCH(":",SUBSTITUTE($R165," ",""))),SUM(INDIRECT("L"&amp;LEFT(SUBSTITUTE($R165," ",""),SEARCH(":",SUBSTITUTE($R165," ",""))-1)&amp;":L"&amp;MID(SUBSTITUTE($R165," ",""),SEARCH(":",SUBSTITUTE($R165," ",""))+1,10))),SUMPRODUCT(--ISNUMBER(SEARCH(","&amp;ROW(L$10:L$209)&amp;",",","&amp;SUBSTITUTE($R165," ","")&amp;",")),L$10:L$209)-SUMPRODUCT(--ISNUMBER(SEARCH(",-"&amp;ROW(L$10:L$209)&amp;",",","&amp;SUBSTITUTE($R165," ","")&amp;",")),L$10:L$209))))&lt;=1,TRUE)),"✓","✗"))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","")&amp;",")),K$10:K$209))))&lt;=1,TRUE),IF(OR(ISNUMBER(L166),L166="-"),ABS(N(L166)-(IF(ISNUMBER(SEARCH(":",SUBSTITUTE($R166," ",""))),SUM(INDIRECT("L"&amp;LEFT(SUBSTITUTE($R166," ",""),SEARCH(":",SUBSTITUTE($R166," ",""))-1)&amp;":L"&amp;MID(SUBSTITUTE($R166," ",""),SEARCH(":",SUBSTITUTE($R166," ",""))+1,10))),SUMPRODUCT(--ISNUMBER(SEARCH(","&amp;ROW(L$10:L$209)&amp;",",","&amp;SUBSTITUTE($R166," ","")&amp;",")),L$10:L$209)-SUMPRODUCT(--ISNUMBER(SEARCH(",-"&amp;ROW(L$10:L$209)&amp;",",","&amp;SUBSTITUTE($R166," ","")&amp;",")),L$10:L$209))))&lt;=1,TRUE)),"✓","✗"))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","")&amp;",")),K$10:K$209))))&lt;=1,TRUE),IF(OR(ISNUMBER(L167),L167="-"),ABS(N(L167)-(IF(ISNUMBER(SEARCH(":",SUBSTITUTE($R167," ",""))),SUM(INDIRECT("L"&amp;LEFT(SUBSTITUTE($R167," ",""),SEARCH(":",SUBSTITUTE($R167," ",""))-1)&amp;":L"&amp;MID(SUBSTITUTE($R167," ",""),SEARCH(":",SUBSTITUTE($R167," ",""))+1,10))),SUMPRODUCT(--ISNUMBER(SEARCH(","&amp;ROW(L$10:L$209)&amp;",",","&amp;SUBSTITUTE($R167," ","")&amp;",")),L$10:L$209)-SUMPRODUCT(--ISNUMBER(SEARCH(",-"&amp;ROW(L$10:L$209)&amp;",",","&amp;SUBSTITUTE($R167," ","")&amp;",")),L$10:L$209))))&lt;=1,TRUE)),"✓","✗"))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","")&amp;",")),K$10:K$209))))&lt;=1,TRUE),IF(OR(ISNUMBER(L168),L168="-"),ABS(N(L168)-(IF(ISNUMBER(SEARCH(":",SUBSTITUTE($R168," ",""))),SUM(INDIRECT("L"&amp;LEFT(SUBSTITUTE($R168," ",""),SEARCH(":",SUBSTITUTE($R168," ",""))-1)&amp;":L"&amp;MID(SUBSTITUTE($R168," ",""),SEARCH(":",SUBSTITUTE($R168," ",""))+1,10))),SUMPRODUCT(--ISNUMBER(SEARCH(","&amp;ROW(L$10:L$209)&amp;",",","&amp;SUBSTITUTE($R168," ","")&amp;",")),L$10:L$209)-SUMPRODUCT(--ISNUMBER(SEARCH(",-"&amp;ROW(L$10:L$209)&amp;",",","&amp;SUBSTITUTE($R168," ","")&amp;",")),L$10:L$209))))&lt;=1,TRUE)),"✓","✗"))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","")&amp;",")),K$10:K$209))))&lt;=1,TRUE),IF(OR(ISNUMBER(L169),L169="-"),ABS(N(L169)-(IF(ISNUMBER(SEARCH(":",SUBSTITUTE($R169," ",""))),SUM(INDIRECT("L"&amp;LEFT(SUBSTITUTE($R169," ",""),SEARCH(":",SUBSTITUTE($R169," ",""))-1)&amp;":L"&amp;MID(SUBSTITUTE($R169," ",""),SEARCH(":",SUBSTITUTE($R169," ",""))+1,10))),SUMPRODUCT(--ISNUMBER(SEARCH(","&amp;ROW(L$10:L$209)&amp;",",","&amp;SUBSTITUTE($R169," ","")&amp;",")),L$10:L$209)-SUMPRODUCT(--ISNUMBER(SEARCH(",-"&amp;ROW(L$10:L$209)&amp;",",","&amp;SUBSTITUTE($R169," ","")&amp;",")),L$10:L$209))))&lt;=1,TRUE)),"✓","✗"))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","")&amp;",")),K$10:K$209))))&lt;=1,TRUE),IF(OR(ISNUMBER(L171),L171="-"),ABS(N(L171)-(IF(ISNUMBER(SEARCH(":",SUBSTITUTE($R171," ",""))),SUM(INDIRECT("L"&amp;LEFT(SUBSTITUTE($R171," ",""),SEARCH(":",SUBSTITUTE($R171," ",""))-1)&amp;":L"&amp;MID(SUBSTITUTE($R171," ",""),SEARCH(":",SUBSTITUTE($R171," ",""))+1,10))),SUMPRODUCT(--ISNUMBER(SEARCH(","&amp;ROW(L$10:L$209)&amp;",",","&amp;SUBSTITUTE($R171," ","")&amp;",")),L$10:L$209)-SUMPRODUCT(--ISNUMBER(SEARCH(",-"&amp;ROW(L$10:L$209)&amp;",",","&amp;SUBSTITUTE($R171," ","")&amp;",")),L$10:L$209))))&lt;=1,TRUE)),"✓","✗"))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","")&amp;",")),K$10:K$209))))&lt;=1,TRUE),IF(OR(ISNUMBER(L172),L172="-"),ABS(N(L172)-(IF(ISNUMBER(SEARCH(":",SUBSTITUTE($R172," ",""))),SUM(INDIRECT("L"&amp;LEFT(SUBSTITUTE($R172," ",""),SEARCH(":",SUBSTITUTE($R172," ",""))-1)&amp;":L"&amp;MID(SUBSTITUTE($R172," ",""),SEARCH(":",SUBSTITUTE($R172," ",""))+1,10))),SUMPRODUCT(--ISNUMBER(SEARCH(","&amp;ROW(L$10:L$209)&amp;",",","&amp;SUBSTITUTE($R172," ","")&amp;",")),L$10:L$209)-SUMPRODUCT(--ISNUMBER(SEARCH(",-"&amp;ROW(L$10:L$209)&amp;",",","&amp;SUBSTITUTE($R172," ","")&amp;",")),L$10:L$209))))&lt;=1,TRUE)),"✓","✗"))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","")&amp;",")),K$10:K$209))))&lt;=1,TRUE),IF(OR(ISNUMBER(L173),L173="-"),ABS(N(L173)-(IF(ISNUMBER(SEARCH(":",SUBSTITUTE($R173," ",""))),SUM(INDIRECT("L"&amp;LEFT(SUBSTITUTE($R173," ",""),SEARCH(":",SUBSTITUTE($R173," ",""))-1)&amp;":L"&amp;MID(SUBSTITUTE($R173," ",""),SEARCH(":",SUBSTITUTE($R173," ",""))+1,10))),SUMPRODUCT(--ISNUMBER(SEARCH(","&amp;ROW(L$10:L$209)&amp;",",","&amp;SUBSTITUTE($R173," ","")&amp;",")),L$10:L$209)-SUMPRODUCT(--ISNUMBER(SEARCH(",-"&amp;ROW(L$10:L$209)&amp;",",","&amp;SUBSTITUTE($R173," ","")&amp;",")),L$10:L$209))))&lt;=1,TRUE)),"✓","✗"))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","")&amp;",")),K$10:K$209))))&lt;=1,TRUE),IF(OR(ISNUMBER(L174),L174="-"),ABS(N(L174)-(IF(ISNUMBER(SEARCH(":",SUBSTITUTE($R174," ",""))),SUM(INDIRECT("L"&amp;LEFT(SUBSTITUTE($R174," ",""),SEARCH(":",SUBSTITUTE($R174," ",""))-1)&amp;":L"&amp;MID(SUBSTITUTE($R174," ",""),SEARCH(":",SUBSTITUTE($R174," ",""))+1,10))),SUMPRODUCT(--ISNUMBER(SEARCH(","&amp;ROW(L$10:L$209)&amp;",",","&amp;SUBSTITUTE($R174," ","")&amp;",")),L$10:L$209)-SUMPRODUCT(--ISNUMBER(SEARCH(",-"&amp;ROW(L$10:L$209)&amp;",",","&amp;SUBSTITUTE($R174," ","")&amp;",")),L$10:L$209))))&lt;=1,TRUE)),"✓","✗"))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","")&amp;",")),K$10:K$209))))&lt;=1,TRUE),IF(OR(ISNUMBER(L175),L175="-"),ABS(N(L175)-(IF(ISNUMBER(SEARCH(":",SUBSTITUTE($R175," ",""))),SUM(INDIRECT("L"&amp;LEFT(SUBSTITUTE($R175," ",""),SEARCH(":",SUBSTITUTE($R175," ",""))-1)&amp;":L"&amp;MID(SUBSTITUTE($R175," ",""),SEARCH(":",SUBSTITUTE($R175," ",""))+1,10))),SUMPRODUCT(--ISNUMBER(SEARCH(","&amp;ROW(L$10:L$209)&amp;",",","&amp;SUBSTITUTE($R175," ","")&amp;",")),L$10:L$209)-SUMPRODUCT(--ISNUMBER(SEARCH(",-"&amp;ROW(L$10:L$209)&amp;",",","&amp;SUBSTITUTE($R175," ","")&amp;",")),L$10:L$209))))&lt;=1,TRUE)),"✓","✗"))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","")&amp;",")),K$10:K$209))))&lt;=1,TRUE),IF(OR(ISNUMBER(L176),L176="-"),ABS(N(L176)-(IF(ISNUMBER(SEARCH(":",SUBSTITUTE($R176," ",""))),SUM(INDIRECT("L"&amp;LEFT(SUBSTITUTE($R176," ",""),SEARCH(":",SUBSTITUTE($R176," ",""))-1)&amp;":L"&amp;MID(SUBSTITUTE($R176," ",""),SEARCH(":",SUBSTITUTE($R176," ",""))+1,10))),SUMPRODUCT(--ISNUMBER(SEARCH(","&amp;ROW(L$10:L$209)&amp;",",","&amp;SUBSTITUTE($R176," ","")&amp;",")),L$10:L$209)-SUMPRODUCT(--ISNUMBER(SEARCH(",-"&amp;ROW(L$10:L$209)&amp;",",","&amp;SUBSTITUTE($R176," ","")&amp;",")),L$10:L$209))))&lt;=1,TRUE)),"✓","✗"))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","")&amp;",")),K$10:K$209))))&lt;=1,TRUE),IF(OR(ISNUMBER(L177),L177="-"),ABS(N(L177)-(IF(ISNUMBER(SEARCH(":",SUBSTITUTE($R177," ",""))),SUM(INDIRECT("L"&amp;LEFT(SUBSTITUTE($R177," ",""),SEARCH(":",SUBSTITUTE($R177," ",""))-1)&amp;":L"&amp;MID(SUBSTITUTE($R177," ",""),SEARCH(":",SUBSTITUTE($R177," ",""))+1,10))),SUMPRODUCT(--ISNUMBER(SEARCH(","&amp;ROW(L$10:L$209)&amp;",",","&amp;SUBSTITUTE($R177," ","")&amp;",")),L$10:L$209)-SUMPRODUCT(--ISNUMBER(SEARCH(",-"&amp;ROW(L$10:L$209)&amp;",",","&amp;SUBSTITUTE($R177," ","")&amp;",")),L$10:L$209))))&lt;=1,TRUE)),"✓","✗"))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","")&amp;",")),K$10:K$209))))&lt;=1,TRUE),IF(OR(ISNUMBER(L178),L178="-"),ABS(N(L178)-(IF(ISNUMBER(SEARCH(":",SUBSTITUTE($R178," ",""))),SUM(INDIRECT("L"&amp;LEFT(SUBSTITUTE($R178," ",""),SEARCH(":",SUBSTITUTE($R178," ",""))-1)&amp;":L"&amp;MID(SUBSTITUTE($R178," ",""),SEARCH(":",SUBSTITUTE($R178," ",""))+1,10))),SUMPRODUCT(--ISNUMBER(SEARCH(","&amp;ROW(L$10:L$209)&amp;",",","&amp;SUBSTITUTE($R178," ","")&amp;",")),L$10:L$209)-SUMPRODUCT(--ISNUMBER(SEARCH(",-"&amp;ROW(L$10:L$209)&amp;",",","&amp;SUBSTITUTE($R178," ","")&amp;",")),L$10:L$209))))&lt;=1,TRUE)),"✓","✗"))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","")&amp;",")),K$10:K$209))))&lt;=1,TRUE),IF(OR(ISNUMBER(L179),L179="-"),ABS(N(L179)-(IF(ISNUMBER(SEARCH(":",SUBSTITUTE($R179," ",""))),SUM(INDIRECT("L"&amp;LEFT(SUBSTITUTE($R179," ",""),SEARCH(":",SUBSTITUTE($R179," ",""))-1)&amp;":L"&amp;MID(SUBSTITUTE($R179," ",""),SEARCH(":",SUBSTITUTE($R179," ",""))+1,10))),SUMPRODUCT(--ISNUMBER(SEARCH(","&amp;ROW(L$10:L$209)&amp;",",","&amp;SUBSTITUTE($R179," ","")&amp;",")),L$10:L$209)-SUMPRODUCT(--ISNUMBER(SEARCH(",-"&amp;ROW(L$10:L$209)&amp;",",","&amp;SUBSTITUTE($R179," ","")&amp;",")),L$10:L$209))))&lt;=1,TRUE)),"✓","✗"))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","")&amp;",")),K$10:K$209))))&lt;=1,TRUE),IF(OR(ISNUMBER(L180),L180="-"),ABS(N(L180)-(IF(ISNUMBER(SEARCH(":",SUBSTITUTE($R180," ",""))),SUM(INDIRECT("L"&amp;LEFT(SUBSTITUTE($R180," ",""),SEARCH(":",SUBSTITUTE($R180," ",""))-1)&amp;":L"&amp;MID(SUBSTITUTE($R180," ",""),SEARCH(":",SUBSTITUTE($R180," ",""))+1,10))),SUMPRODUCT(--ISNUMBER(SEARCH(","&amp;ROW(L$10:L$209)&amp;",",","&amp;SUBSTITUTE($R180," ","")&amp;",")),L$10:L$209)-SUMPRODUCT(--ISNUMBER(SEARCH(",-"&amp;ROW(L$10:L$209)&amp;",",","&amp;SUBSTITUTE($R180," ","")&amp;",")),L$10:L$209))))&lt;=1,TRUE)),"✓","✗"))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","")&amp;",")),K$10:K$209))))&lt;=1,TRUE),IF(OR(ISNUMBER(L181),L181="-"),ABS(N(L181)-(IF(ISNUMBER(SEARCH(":",SUBSTITUTE($R181," ",""))),SUM(INDIRECT("L"&amp;LEFT(SUBSTITUTE($R181," ",""),SEARCH(":",SUBSTITUTE($R181," ",""))-1)&amp;":L"&amp;MID(SUBSTITUTE($R181," ",""),SEARCH(":",SUBSTITUTE($R181," ",""))+1,10))),SUMPRODUCT(--ISNUMBER(SEARCH(","&amp;ROW(L$10:L$209)&amp;",",","&amp;SUBSTITUTE($R181," ","")&amp;",")),L$10:L$209)-SUMPRODUCT(--ISNUMBER(SEARCH(",-"&amp;ROW(L$10:L$209)&amp;",",","&amp;SUBSTITUTE($R181," ","")&amp;",")),L$10:L$209))))&lt;=1,TRUE)),"✓","✗"))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","")&amp;",")),K$10:K$209))))&lt;=1,TRUE),IF(OR(ISNUMBER(L182),L182="-"),ABS(N(L182)-(IF(ISNUMBER(SEARCH(":",SUBSTITUTE($R182," ",""))),SUM(INDIRECT("L"&amp;LEFT(SUBSTITUTE($R182," ",""),SEARCH(":",SUBSTITUTE($R182," ",""))-1)&amp;":L"&amp;MID(SUBSTITUTE($R182," ",""),SEARCH(":",SUBSTITUTE($R182," ",""))+1,10))),SUMPRODUCT(--ISNUMBER(SEARCH(","&amp;ROW(L$10:L$209)&amp;",",","&amp;SUBSTITUTE($R182," ","")&amp;",")),L$10:L$209)-SUMPRODUCT(--ISNUMBER(SEARCH(",-"&amp;ROW(L$10:L$209)&amp;",",","&amp;SUBSTITUTE($R182," ","")&amp;",")),L$10:L$209))))&lt;=1,TRUE)),"✓","✗"))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","")&amp;",")),K$10:K$209))))&lt;=1,TRUE),IF(OR(ISNUMBER(L183),L183="-"),ABS(N(L183)-(IF(ISNUMBER(SEARCH(":",SUBSTITUTE($R183," ",""))),SUM(INDIRECT("L"&amp;LEFT(SUBSTITUTE($R183," ",""),SEARCH(":",SUBSTITUTE($R183," ",""))-1)&amp;":L"&amp;MID(SUBSTITUTE($R183," ",""),SEARCH(":",SUBSTITUTE($R183," ",""))+1,10))),SUMPRODUCT(--ISNUMBER(SEARCH(","&amp;ROW(L$10:L$209)&amp;",",","&amp;SUBSTITUTE($R183," ","")&amp;",")),L$10:L$209)-SUMPRODUCT(--ISNUMBER(SEARCH(",-"&amp;ROW(L$10:L$209)&amp;",",","&amp;SUBSTITUTE($R183," ","")&amp;",")),L$10:L$209))))&lt;=1,TRUE)),"✓","✗"))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","")&amp;",")),K$10:K$209))))&lt;=1,TRUE),IF(OR(ISNUMBER(L184),L184="-"),ABS(N(L184)-(IF(ISNUMBER(SEARCH(":",SUBSTITUTE($R184," ",""))),SUM(INDIRECT("L"&amp;LEFT(SUBSTITUTE($R184," ",""),SEARCH(":",SUBSTITUTE($R184," ",""))-1)&amp;":L"&amp;MID(SUBSTITUTE($R184," ",""),SEARCH(":",SUBSTITUTE($R184," ",""))+1,10))),SUMPRODUCT(--ISNUMBER(SEARCH(","&amp;ROW(L$10:L$209)&amp;",",","&amp;SUBSTITUTE($R184," ","")&amp;",")),L$10:L$209)-SUMPRODUCT(--ISNUMBER(SEARCH(",-"&amp;ROW(L$10:L$209)&amp;",",","&amp;SUBSTITUTE($R184," ","")&amp;",")),L$10:L$209))))&lt;=1,TRUE)),"✓","✗"))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","")&amp;",")),K$10:K$209))))&lt;=1,TRUE),IF(OR(ISNUMBER(L185),L185="-"),ABS(N(L185)-(IF(ISNUMBER(SEARCH(":",SUBSTITUTE($R185," ",""))),SUM(INDIRECT("L"&amp;LEFT(SUBSTITUTE($R185," ",""),SEARCH(":",SUBSTITUTE($R185," ",""))-1)&amp;":L"&amp;MID(SUBSTITUTE($R185," ",""),SEARCH(":",SUBSTITUTE($R185," ",""))+1,10))),SUMPRODUCT(--ISNUMBER(SEARCH(","&amp;ROW(L$10:L$209)&amp;",",","&amp;SUBSTITUTE($R185," ","")&amp;",")),L$10:L$209)-SUMPRODUCT(--ISNUMBER(SEARCH(",-"&amp;ROW(L$10:L$209)&amp;",",","&amp;SUBSTITUTE($R185," ","")&amp;",")),L$10:L$209))))&lt;=1,TRUE)),"✓","✗"))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","")&amp;",")),K$10:K$209))))&lt;=1,TRUE),IF(OR(ISNUMBER(L186),L186="-"),ABS(N(L186)-(IF(ISNUMBER(SEARCH(":",SUBSTITUTE($R186," ",""))),SUM(INDIRECT("L"&amp;LEFT(SUBSTITUTE($R186," ",""),SEARCH(":",SUBSTITUTE($R186," ",""))-1)&amp;":L"&amp;MID(SUBSTITUTE($R186," ",""),SEARCH(":",SUBSTITUTE($R186," ",""))+1,10))),SUMPRODUCT(--ISNUMBER(SEARCH(","&amp;ROW(L$10:L$209)&amp;",",","&amp;SUBSTITUTE($R186," ","")&amp;",")),L$10:L$209)-SUMPRODUCT(--ISNUMBER(SEARCH(",-"&amp;ROW(L$10:L$209)&amp;",",","&amp;SUBSTITUTE($R186," ","")&amp;",")),L$10:L$209))))&lt;=1,TRUE)),"✓","✗"))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","")&amp;",")),K$10:K$209))))&lt;=1,TRUE),IF(OR(ISNUMBER(L187),L187="-"),ABS(N(L187)-(IF(ISNUMBER(SEARCH(":",SUBSTITUTE($R187," ",""))),SUM(INDIRECT("L"&amp;LEFT(SUBSTITUTE($R187," ",""),SEARCH(":",SUBSTITUTE($R187," ",""))-1)&amp;":L"&amp;MID(SUBSTITUTE($R187," ",""),SEARCH(":",SUBSTITUTE($R187," ",""))+1,10))),SUMPRODUCT(--ISNUMBER(SEARCH(","&amp;ROW(L$10:L$209)&amp;",",","&amp;SUBSTITUTE($R187," ","")&amp;",")),L$10:L$209)-SUMPRODUCT(--ISNUMBER(SEARCH(",-"&amp;ROW(L$10:L$209)&amp;",",","&amp;SUBSTITUTE($R187," ","")&amp;",")),L$10:L$209))))&lt;=1,TRUE)),"✓","✗"))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","")&amp;",")),K$10:K$209))))&lt;=1,TRUE),IF(OR(ISNUMBER(L188),L188="-"),ABS(N(L188)-(IF(ISNUMBER(SEARCH(":",SUBSTITUTE($R188," ",""))),SUM(INDIRECT("L"&amp;LEFT(SUBSTITUTE($R188," ",""),SEARCH(":",SUBSTITUTE($R188," ",""))-1)&amp;":L"&amp;MID(SUBSTITUTE($R188," ",""),SEARCH(":",SUBSTITUTE($R188," ",""))+1,10))),SUMPRODUCT(--ISNUMBER(SEARCH(","&amp;ROW(L$10:L$209)&amp;",",","&amp;SUBSTITUTE($R188," ","")&amp;",")),L$10:L$209)-SUMPRODUCT(--ISNUMBER(SEARCH(",-"&amp;ROW(L$10:L$209)&amp;",",","&amp;SUBSTITUTE($R188," ","")&amp;",")),L$10:L$209))))&lt;=1,TRUE)),"✓","✗"))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","")&amp;",")),K$10:K$209))))&lt;=1,TRUE),IF(OR(ISNUMBER(L189),L189="-"),ABS(N(L189)-(IF(ISNUMBER(SEARCH(":",SUBSTITUTE($R189," ",""))),SUM(INDIRECT("L"&amp;LEFT(SUBSTITUTE($R189," ",""),SEARCH(":",SUBSTITUTE($R189," ",""))-1)&amp;":L"&amp;MID(SUBSTITUTE($R189," ",""),SEARCH(":",SUBSTITUTE($R189," ",""))+1,10))),SUMPRODUCT(--ISNUMBER(SEARCH(","&amp;ROW(L$10:L$209)&amp;",",","&amp;SUBSTITUTE($R189," ","")&amp;",")),L$10:L$209)-SUMPRODUCT(--ISNUMBER(SEARCH(",-"&amp;ROW(L$10:L$209)&amp;",",","&amp;SUBSTITUTE($R189," ","")&amp;",")),L$10:L$209))))&lt;=1,TRUE)),"✓","✗"))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","")&amp;",")),K$10:K$209))))&lt;=1,TRUE),IF(OR(ISNUMBER(L190),L190="-"),ABS(N(L190)-(IF(ISNUMBER(SEARCH(":",SUBSTITUTE($R190," ",""))),SUM(INDIRECT("L"&amp;LEFT(SUBSTITUTE($R190," ",""),SEARCH(":",SUBSTITUTE($R190," ",""))-1)&amp;":L"&amp;MID(SUBSTITUTE($R190," ",""),SEARCH(":",SUBSTITUTE($R190," ",""))+1,10))),SUMPRODUCT(--ISNUMBER(SEARCH(","&amp;ROW(L$10:L$209)&amp;",",","&amp;SUBSTITUTE($R190," ","")&amp;",")),L$10:L$209)-SUMPRODUCT(--ISNUMBER(SEARCH(",-"&amp;ROW(L$10:L$209)&amp;",",","&amp;SUBSTITUTE($R190," ","")&amp;",")),L$10:L$209))))&lt;=1,TRUE)),"✓","✗"))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","")&amp;",")),K$10:K$209))))&lt;=1,TRUE),IF(OR(ISNUMBER(L191),L191="-"),ABS(N(L191)-(IF(ISNUMBER(SEARCH(":",SUBSTITUTE($R191," ",""))),SUM(INDIRECT("L"&amp;LEFT(SUBSTITUTE($R191," ",""),SEARCH(":",SUBSTITUTE($R191," ",""))-1)&amp;":L"&amp;MID(SUBSTITUTE($R191," ",""),SEARCH(":",SUBSTITUTE($R191," ",""))+1,10))),SUMPRODUCT(--ISNUMBER(SEARCH(","&amp;ROW(L$10:L$209)&amp;",",","&amp;SUBSTITUTE($R191," ","")&amp;",")),L$10:L$209)-SUMPRODUCT(--ISNUMBER(SEARCH(",-"&amp;ROW(L$10:L$209)&amp;",",","&amp;SUBSTITUTE($R191," ","")&amp;",")),L$10:L$209))))&lt;=1,TRUE)),"✓","✗"))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","")&amp;",")),K$10:K$209))))&lt;=1,TRUE),IF(OR(ISNUMBER(L192),L192="-"),ABS(N(L192)-(IF(ISNUMBER(SEARCH(":",SUBSTITUTE($R192," ",""))),SUM(INDIRECT("L"&amp;LEFT(SUBSTITUTE($R192," ",""),SEARCH(":",SUBSTITUTE($R192," ",""))-1)&amp;":L"&amp;MID(SUBSTITUTE($R192," ",""),SEARCH(":",SUBSTITUTE($R192," ",""))+1,10))),SUMPRODUCT(--ISNUMBER(SEARCH(","&amp;ROW(L$10:L$209)&amp;",",","&amp;SUBSTITUTE($R192," ","")&amp;",")),L$10:L$209)-SUMPRODUCT(--ISNUMBER(SEARCH(",-"&amp;ROW(L$10:L$209)&amp;",",","&amp;SUBSTITUTE($R192," ","")&amp;",")),L$10:L$209))))&lt;=1,TRUE)),"✓","✗"))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","")&amp;",")),K$10:K$209))))&lt;=1,TRUE),IF(OR(ISNUMBER(L193),L193="-"),ABS(N(L193)-(IF(ISNUMBER(SEARCH(":",SUBSTITUTE($R193," ",""))),SUM(INDIRECT("L"&amp;LEFT(SUBSTITUTE($R193," ",""),SEARCH(":",SUBSTITUTE($R193," ",""))-1)&amp;":L"&amp;MID(SUBSTITUTE($R193," ",""),SEARCH(":",SUBSTITUTE($R193," ",""))+1,10))),SUMPRODUCT(--ISNUMBER(SEARCH(","&amp;ROW(L$10:L$209)&amp;",",","&amp;SUBSTITUTE($R193," ","")&amp;",")),L$10:L$209)-SUMPRODUCT(--ISNUMBER(SEARCH(",-"&amp;ROW(L$10:L$209)&amp;",",","&amp;SUBSTITUTE($R193," ","")&amp;",")),L$10:L$209))))&lt;=1,TRUE)),"✓","✗"))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","")&amp;",")),K$10:K$209))))&lt;=1,TRUE),IF(OR(ISNUMBER(L194),L194="-"),ABS(N(L194)-(IF(ISNUMBER(SEARCH(":",SUBSTITUTE($R194," ",""))),SUM(INDIRECT("L"&amp;LEFT(SUBSTITUTE($R194," ",""),SEARCH(":",SUBSTITUTE($R194," ",""))-1)&amp;":L"&amp;MID(SUBSTITUTE($R194," ",""),SEARCH(":",SUBSTITUTE($R194," ",""))+1,10))),SUMPRODUCT(--ISNUMBER(SEARCH(","&amp;ROW(L$10:L$209)&amp;",",","&amp;SUBSTITUTE($R194," ","")&amp;",")),L$10:L$209)-SUMPRODUCT(--ISNUMBER(SEARCH(",-"&amp;ROW(L$10:L$209)&amp;",",","&amp;SUBSTITUTE($R194," ","")&amp;",")),L$10:L$209))))&lt;=1,TRUE)),"✓","✗"))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","")&amp;",")),K$10:K$209))))&lt;=1,TRUE),IF(OR(ISNUMBER(L195),L195="-"),ABS(N(L195)-(IF(ISNUMBER(SEARCH(":",SUBSTITUTE($R195," ",""))),SUM(INDIRECT("L"&amp;LEFT(SUBSTITUTE($R195," ",""),SEARCH(":",SUBSTITUTE($R195," ",""))-1)&amp;":L"&amp;MID(SUBSTITUTE($R195," ",""),SEARCH(":",SUBSTITUTE($R195," ",""))+1,10))),SUMPRODUCT(--ISNUMBER(SEARCH(","&amp;ROW(L$10:L$209)&amp;",",","&amp;SUBSTITUTE($R195," ","")&amp;",")),L$10:L$209)-SUMPRODUCT(--ISNUMBER(SEARCH(",-"&amp;ROW(L$10:L$209)&amp;",",","&amp;SUBSTITUTE($R195," ","")&amp;",")),L$10:L$209))))&lt;=1,TRUE)),"✓","✗"))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","")&amp;",")),K$10:K$209))))&lt;=1,TRUE),IF(OR(ISNUMBER(L196),L196="-"),ABS(N(L196)-(IF(ISNUMBER(SEARCH(":",SUBSTITUTE($R196," ",""))),SUM(INDIRECT("L"&amp;LEFT(SUBSTITUTE($R196," ",""),SEARCH(":",SUBSTITUTE($R196," ",""))-1)&amp;":L"&amp;MID(SUBSTITUTE($R196," ",""),SEARCH(":",SUBSTITUTE($R196," ",""))+1,10))),SUMPRODUCT(--ISNUMBER(SEARCH(","&amp;ROW(L$10:L$209)&amp;",",","&amp;SUBSTITUTE($R196," ","")&amp;",")),L$10:L$209)-SUMPRODUCT(--ISNUMBER(SEARCH(",-"&amp;ROW(L$10:L$209)&amp;",",","&amp;SUBSTITUTE($R196," ","")&amp;",")),L$10:L$209))))&lt;=1,TRUE)),"✓","✗"))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","")&amp;",")),K$10:K$209))))&lt;=1,TRUE),IF(OR(ISNUMBER(L197),L197="-"),ABS(N(L197)-(IF(ISNUMBER(SEARCH(":",SUBSTITUTE($R197," ",""))),SUM(INDIRECT("L"&amp;LEFT(SUBSTITUTE($R197," ",""),SEARCH(":",SUBSTITUTE($R197," ",""))-1)&amp;":L"&amp;MID(SUBSTITUTE($R197," ",""),SEARCH(":",SUBSTITUTE($R197," ",""))+1,10))),SUMPRODUCT(--ISNUMBER(SEARCH(","&amp;ROW(L$10:L$209)&amp;",",","&amp;SUBSTITUTE($R197," ","")&amp;",")),L$10:L$209)-SUMPRODUCT(--ISNUMBER(SEARCH(",-"&amp;ROW(L$10:L$209)&amp;",",","&amp;SUBSTITUTE($R197," ","")&amp;",")),L$10:L$209))))&lt;=1,TRUE)),"✓","✗"))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","")&amp;",")),K$10:K$209))))&lt;=1,TRUE),IF(OR(ISNUMBER(L198),L198="-"),ABS(N(L198)-(IF(ISNUMBER(SEARCH(":",SUBSTITUTE($R198," ",""))),SUM(INDIRECT("L"&amp;LEFT(SUBSTITUTE($R198," ",""),SEARCH(":",SUBSTITUTE($R198," ",""))-1)&amp;":L"&amp;MID(SUBSTITUTE($R198," ",""),SEARCH(":",SUBSTITUTE($R198," ",""))+1,10))),SUMPRODUCT(--ISNUMBER(SEARCH(","&amp;ROW(L$10:L$209)&amp;",",","&amp;SUBSTITUTE($R198," ","")&amp;",")),L$10:L$209)-SUMPRODUCT(--ISNUMBER(SEARCH(",-"&amp;ROW(L$10:L$209)&amp;",",","&amp;SUBSTITUTE($R198," ","")&amp;",")),L$10:L$209))))&lt;=1,TRUE)),"✓","✗"))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","")&amp;",")),K$10:K$209))))&lt;=1,TRUE),IF(OR(ISNUMBER(L199),L199="-"),ABS(N(L199)-(IF(ISNUMBER(SEARCH(":",SUBSTITUTE($R199," ",""))),SUM(INDIRECT("L"&amp;LEFT(SUBSTITUTE($R199," ",""),SEARCH(":",SUBSTITUTE($R199," ",""))-1)&amp;":L"&amp;MID(SUBSTITUTE($R199," ",""),SEARCH(":",SUBSTITUTE($R199," ",""))+1,10))),SUMPRODUCT(--ISNUMBER(SEARCH(","&amp;ROW(L$10:L$209)&amp;",",","&amp;SUBSTITUTE($R199," ","")&amp;",")),L$10:L$209)-SUMPRODUCT(--ISNUMBER(SEARCH(",-"&amp;ROW(L$10:L$209)&amp;",",","&amp;SUBSTITUTE($R199," ","")&amp;",")),L$10:L$209))))&lt;=1,TRUE)),"✓","✗"))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","")&amp;",")),K$10:K$209))))&lt;=1,TRUE),IF(OR(ISNUMBER(L200),L200="-"),ABS(N(L200)-(IF(ISNUMBER(SEARCH(":",SUBSTITUTE($R200," ",""))),SUM(INDIRECT("L"&amp;LEFT(SUBSTITUTE($R200," ",""),SEARCH(":",SUBSTITUTE($R200," ",""))-1)&amp;":L"&amp;MID(SUBSTITUTE($R200," ",""),SEARCH(":",SUBSTITUTE($R200," ",""))+1,10))),SUMPRODUCT(--ISNUMBER(SEARCH(","&amp;ROW(L$10:L$209)&amp;",",","&amp;SUBSTITUTE($R200," ","")&amp;",")),L$10:L$209)-SUMPRODUCT(--ISNUMBER(SEARCH(",-"&amp;ROW(L$10:L$209)&amp;",",","&amp;SUBSTITUTE($R200," ","")&amp;",")),L$10:L$209))))&lt;=1,TRUE)),"✓","✗"))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","")&amp;",")),K$10:K$209))))&lt;=1,TRUE),IF(OR(ISNUMBER(L201),L201="-"),ABS(N(L201)-(IF(ISNUMBER(SEARCH(":",SUBSTITUTE($R201," ",""))),SUM(INDIRECT("L"&amp;LEFT(SUBSTITUTE($R201," ",""),SEARCH(":",SUBSTITUTE($R201," ",""))-1)&amp;":L"&amp;MID(SUBSTITUTE($R201," ",""),SEARCH(":",SUBSTITUTE($R201," ",""))+1,10))),SUMPRODUCT(--ISNUMBER(SEARCH(","&amp;ROW(L$10:L$209)&amp;",",","&amp;SUBSTITUTE($R201," ","")&amp;",")),L$10:L$209)-SUMPRODUCT(--ISNUMBER(SEARCH(",-"&amp;ROW(L$10:L$209)&amp;",",","&amp;SUBSTITUTE($R201," ","")&amp;",")),L$10:L$209))))&lt;=1,TRUE)),"✓","✗"))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","")&amp;",")),K$10:K$209))))&lt;=1,TRUE),IF(OR(ISNUMBER(L203),L203="-"),ABS(N(L203)-(IF(ISNUMBER(SEARCH(":",SUBSTITUTE($R203," ",""))),SUM(INDIRECT("L"&amp;LEFT(SUBSTITUTE($R203," ",""),SEARCH(":",SUBSTITUTE($R203," ",""))-1)&amp;":L"&amp;MID(SUBSTITUTE($R203," ",""),SEARCH(":",SUBSTITUTE($R203," ",""))+1,10))),SUMPRODUCT(--ISNUMBER(SEARCH(","&amp;ROW(L$10:L$209)&amp;",",","&amp;SUBSTITUTE($R203," ","")&amp;",")),L$10:L$209)-SUMPRODUCT(--ISNUMBER(SEARCH(",-"&amp;ROW(L$10:L$209)&amp;",",","&amp;SUBSTITUTE($R203," ","")&amp;",")),L$10:L$209))))&lt;=1,TRUE)),"✓","✗"))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","")&amp;",")),K$10:K$209))))&lt;=1,TRUE),IF(OR(ISNUMBER(L204),L204="-"),ABS(N(L204)-(IF(ISNUMBER(SEARCH(":",SUBSTITUTE($R204," ",""))),SUM(INDIRECT("L"&amp;LEFT(SUBSTITUTE($R204," ",""),SEARCH(":",SUBSTITUTE($R204," ",""))-1)&amp;":L"&amp;MID(SUBSTITUTE($R204," ",""),SEARCH(":",SUBSTITUTE($R204," ",""))+1,10))),SUMPRODUCT(--ISNUMBER(SEARCH(","&amp;ROW(L$10:L$209)&amp;",",","&amp;SUBSTITUTE($R204," ","")&amp;",")),L$10:L$209)-SUMPRODUCT(--ISNUMBER(SEARCH(",-"&amp;ROW(L$10:L$209)&amp;",",","&amp;SUBSTITUTE($R204," ","")&amp;",")),L$10:L$209))))&lt;=1,TRUE)),"✓","✗"))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","")&amp;",")),K$10:K$209))))&lt;=1,TRUE),IF(OR(ISNUMBER(L205),L205="-"),ABS(N(L205)-(IF(ISNUMBER(SEARCH(":",SUBSTITUTE($R205," ",""))),SUM(INDIRECT("L"&amp;LEFT(SUBSTITUTE($R205," ",""),SEARCH(":",SUBSTITUTE($R205," ",""))-1)&amp;":L"&amp;MID(SUBSTITUTE($R205," ",""),SEARCH(":",SUBSTITUTE($R205," ",""))+1,10))),SUMPRODUCT(--ISNUMBER(SEARCH(","&amp;ROW(L$10:L$209)&amp;",",","&amp;SUBSTITUTE($R205," ","")&amp;",")),L$10:L$209)-SUMPRODUCT(--ISNUMBER(SEARCH(",-"&amp;ROW(L$10:L$209)&amp;",",","&amp;SUBSTITUTE($R205," ","")&amp;",")),L$10:L$209))))&lt;=1,TRUE)),"✓","✗"))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","")&amp;",")),K$10:K$209))))&lt;=1,TRUE),IF(OR(ISNUMBER(L206),L206="-"),ABS(N(L206)-(IF(ISNUMBER(SEARCH(":",SUBSTITUTE($R206," ",""))),SUM(INDIRECT("L"&amp;LEFT(SUBSTITUTE($R206," ",""),SEARCH(":",SUBSTITUTE($R206," ",""))-1)&amp;":L"&amp;MID(SUBSTITUTE($R206," ",""),SEARCH(":",SUBSTITUTE($R206," ",""))+1,10))),SUMPRODUCT(--ISNUMBER(SEARCH(","&amp;ROW(L$10:L$209)&amp;",",","&amp;SUBSTITUTE($R206," ","")&amp;",")),L$10:L$209)-SUMPRODUCT(--ISNUMBER(SEARCH(",-"&amp;ROW(L$10:L$209)&amp;",",","&amp;SUBSTITUTE($R206," ","")&amp;",")),L$10:L$209))))&lt;=1,TRUE)),"✓","✗"))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","")&amp;",")),K$10:K$209))))&lt;=1,TRUE),IF(OR(ISNUMBER(L207),L207="-"),ABS(N(L207)-(IF(ISNUMBER(SEARCH(":",SUBSTITUTE($R207," ",""))),SUM(INDIRECT("L"&amp;LEFT(SUBSTITUTE($R207," ",""),SEARCH(":",SUBSTITUTE($R207," ",""))-1)&amp;":L"&amp;MID(SUBSTITUTE($R207," ",""),SEARCH(":",SUBSTITUTE($R207," ",""))+1,10))),SUMPRODUCT(--ISNUMBER(SEARCH(","&amp;ROW(L$10:L$209)&amp;",",","&amp;SUBSTITUTE($R207," ","")&amp;",")),L$10:L$209)-SUMPRODUCT(--ISNUMBER(SEARCH(",-"&amp;ROW(L$10:L$209)&amp;",",","&amp;SUBSTITUTE($R207," ","")&amp;",")),L$10:L$209))))&lt;=1,TRUE)),"✓","✗"))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","")&amp;",")),K$10:K$209))))&lt;=1,TRUE),IF(OR(ISNUMBER(L208),L208="-"),ABS(N(L208)-(IF(ISNUMBER(SEARCH(":",SUBSTITUTE($R208," ",""))),SUM(INDIRECT("L"&amp;LEFT(SUBSTITUTE($R208," ",""),SEARCH(":",SUBSTITUTE($R208," ",""))-1)&amp;":L"&amp;MID(SUBSTITUTE($R208," ",""),SEARCH(":",SUBSTITUTE($R208," ",""))+1,10))),SUMPRODUCT(--ISNUMBER(SEARCH(","&amp;ROW(L$10:L$209)&amp;",",","&amp;SUBSTITUTE($R208," ","")&amp;",")),L$10:L$209)-SUMPRODUCT(--ISNUMBER(SEARCH(",-"&amp;ROW(L$10:L$209)&amp;",",","&amp;SUBSTITUTE($R208," ","")&amp;",")),L$10:L$209))))&lt;=1,TRUE)),"✓","✗"))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","")&amp;",")),K$10:K$209))))&lt;=1,TRUE),IF(OR(ISNUMBER(L209),L209="-"),ABS(N(L209)-(IF(ISNUMBER(SEARCH(":",SUBSTITUTE($R209," ",""))),SUM(INDIRECT("L"&amp;LEFT(SUBSTITUTE($R209," ",""),SEARCH(":",SUBSTITUTE($R209," ",""))-1)&amp;":L"&amp;MID(SUBSTITUTE($R209," ",""),SEARCH(":",SUBSTITUTE($R209," ",""))+1,10))),SUMPRODUCT(--ISNUMBER(SEARCH(","&amp;ROW(L$10:L$209)&amp;",",","&amp;SUBSTITUTE($R209," ","")&amp;",")),L$10:L$209)-SUMPRODUCT(--ISNUMBER(SEARCH(",-"&amp;ROW(L$10:L$209)&amp;",",","&amp;SUBSTITUTE($R209," ","")&amp;",")),L$10:L$209))))&lt;=1,TRUE)),"✓","✗"))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2023 (ريال)</t>
        </is>
      </c>
      <c r="E7" s="5" t="inlineStr">
        <is>
          <t>2022 (ريال)</t>
        </is>
      </c>
      <c r="F7" s="5" t="inlineStr">
        <is>
          <t>2023 (دولار)</t>
        </is>
      </c>
      <c r="G7" s="5" t="inlineStr">
        <is>
          <t>2022 (دولار)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>
        <is>
          <t>2023-12-31</t>
        </is>
      </c>
      <c r="G8" s="4" t="inlineStr">
        <is>
          <t>2022-12-31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>
        <is>
          <t>USD</t>
        </is>
      </c>
      <c r="G9" s="4" t="inlineStr">
        <is>
          <t>USD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الدخل قبل ضرائب الدخل والزكاة</t>
        </is>
      </c>
      <c r="C10" t="inlineStr"/>
      <c r="D10" t="n">
        <v>888067</v>
      </c>
      <c r="E10" t="n">
        <v>1152962</v>
      </c>
      <c r="F10" t="n">
        <v>236818</v>
      </c>
      <c r="G10" t="n">
        <v>307456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section</t>
        </is>
      </c>
      <c r="B11" t="inlineStr">
        <is>
          <t>التعديلات لتسوية الدخل قبل ضرائب الدخل والزكاة إلى صافي النقد الناتج من أنشطة التشغيل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item</t>
        </is>
      </c>
      <c r="B12" t="inlineStr">
        <is>
          <t>استهلاك وإطفاء</t>
        </is>
      </c>
      <c r="C12" t="inlineStr">
        <is>
          <t>5، 6</t>
        </is>
      </c>
      <c r="D12" t="n">
        <v>97040</v>
      </c>
      <c r="E12" t="n">
        <v>91618</v>
      </c>
      <c r="F12" t="n">
        <v>25877</v>
      </c>
      <c r="G12" t="n">
        <v>24431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item</t>
        </is>
      </c>
      <c r="B13" t="inlineStr">
        <is>
          <t>تكاليف تنقيب وتقييم مشطوبة</t>
        </is>
      </c>
      <c r="C13" t="inlineStr">
        <is>
          <t>6</t>
        </is>
      </c>
      <c r="D13" t="n">
        <v>3018</v>
      </c>
      <c r="E13" t="n">
        <v>2916</v>
      </c>
      <c r="F13" t="n">
        <v>804</v>
      </c>
      <c r="G13" t="n">
        <v>777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خسارة استبعاد ممتلكات وآلات ومعدات</t>
        </is>
      </c>
      <c r="C14" t="inlineStr"/>
      <c r="D14" t="n">
        <v>1805</v>
      </c>
      <c r="E14" t="n">
        <v>3861</v>
      </c>
      <c r="F14" t="n">
        <v>482</v>
      </c>
      <c r="G14" t="n">
        <v>1029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خسارة قياس القيمة العادلة لموجودات مصنفة كمعدة للبيع</t>
        </is>
      </c>
      <c r="C15" t="inlineStr">
        <is>
          <t>34(أ)</t>
        </is>
      </c>
      <c r="D15" t="n">
        <v>3219</v>
      </c>
      <c r="E15" t="inlineStr">
        <is>
          <t>-</t>
        </is>
      </c>
      <c r="F15" t="n">
        <v>858</v>
      </c>
      <c r="G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item</t>
        </is>
      </c>
      <c r="B16" t="inlineStr">
        <is>
          <t>حركة في مخزون</t>
        </is>
      </c>
      <c r="C16" t="inlineStr"/>
      <c r="D16" t="n">
        <v>832</v>
      </c>
      <c r="E16" t="n">
        <v>1525</v>
      </c>
      <c r="F16" t="n">
        <v>222</v>
      </c>
      <c r="G16" t="n">
        <v>407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حصة في نتائج مشاريع مشتركة وشركات زميلة</t>
        </is>
      </c>
      <c r="C17" t="inlineStr">
        <is>
          <t>7</t>
        </is>
      </c>
      <c r="D17" t="n">
        <v>4001</v>
      </c>
      <c r="E17" t="n">
        <v>-2873</v>
      </c>
      <c r="F17" t="n">
        <v>1067</v>
      </c>
      <c r="G17" t="n">
        <v>-766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دخل تمويل ودخل آخر</t>
        </is>
      </c>
      <c r="C18" t="inlineStr">
        <is>
          <t>27</t>
        </is>
      </c>
      <c r="D18" t="n">
        <v>-31967</v>
      </c>
      <c r="E18" t="n">
        <v>-14894</v>
      </c>
      <c r="F18" t="n">
        <v>-8524</v>
      </c>
      <c r="G18" t="n">
        <v>-3972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item</t>
        </is>
      </c>
      <c r="B19" t="inlineStr">
        <is>
          <t>تكاليف تمويل</t>
        </is>
      </c>
      <c r="C19" t="inlineStr">
        <is>
          <t>20</t>
        </is>
      </c>
      <c r="D19" t="n">
        <v>8186</v>
      </c>
      <c r="E19" t="n">
        <v>8882</v>
      </c>
      <c r="F19" t="n">
        <v>2183</v>
      </c>
      <c r="G19" t="n">
        <v>2369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item</t>
        </is>
      </c>
      <c r="B20" t="inlineStr">
        <is>
          <t>تغير في القيمة العادلة لاستثمارات من خلال الربح أو الخسارة</t>
        </is>
      </c>
      <c r="C20" t="inlineStr"/>
      <c r="D20" t="n">
        <v>-347</v>
      </c>
      <c r="E20" t="n">
        <v>237</v>
      </c>
      <c r="F20" t="n">
        <v>-92</v>
      </c>
      <c r="G20" t="n">
        <v>64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A21" t="inlineStr">
        <is>
          <t>item</t>
        </is>
      </c>
      <c r="B21" t="inlineStr">
        <is>
          <t>تغير في استبعاد أرباح مخزون مشاريع مشتركة وشركات زميلة</t>
        </is>
      </c>
      <c r="C21" t="inlineStr">
        <is>
          <t>7</t>
        </is>
      </c>
      <c r="D21" t="n">
        <v>-389</v>
      </c>
      <c r="E21" t="n">
        <v>-373</v>
      </c>
      <c r="F21" t="n">
        <v>-103</v>
      </c>
      <c r="G21" t="n">
        <v>-99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A22" t="inlineStr">
        <is>
          <t>item</t>
        </is>
      </c>
      <c r="B22" t="inlineStr">
        <is>
          <t>أخرى</t>
        </is>
      </c>
      <c r="C22" t="inlineStr"/>
      <c r="D22" t="n">
        <v>406</v>
      </c>
      <c r="E22" t="n">
        <v>1205</v>
      </c>
      <c r="F22" t="n">
        <v>108</v>
      </c>
      <c r="G22" t="n">
        <v>322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A23" t="inlineStr">
        <is>
          <t>section</t>
        </is>
      </c>
      <c r="B23" t="inlineStr">
        <is>
          <t>التغير في رأس المال العامل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A24" t="inlineStr">
        <is>
          <t>item</t>
        </is>
      </c>
      <c r="B24" t="inlineStr">
        <is>
          <t>مخزون</t>
        </is>
      </c>
      <c r="C24" t="inlineStr"/>
      <c r="D24" t="n">
        <v>11285</v>
      </c>
      <c r="E24" t="n">
        <v>-26555</v>
      </c>
      <c r="F24" t="n">
        <v>3010</v>
      </c>
      <c r="G24" t="n">
        <v>-7082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A25" t="inlineStr">
        <is>
          <t>item</t>
        </is>
      </c>
      <c r="B25" t="inlineStr">
        <is>
          <t>ذمم مدينة تجارية</t>
        </is>
      </c>
      <c r="C25" t="inlineStr"/>
      <c r="D25" t="n">
        <v>47</v>
      </c>
      <c r="E25" t="n">
        <v>-22906</v>
      </c>
      <c r="F25" t="n">
        <v>12</v>
      </c>
      <c r="G25" t="n">
        <v>-6108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A26" t="inlineStr">
        <is>
          <t>item</t>
        </is>
      </c>
      <c r="B26" t="inlineStr">
        <is>
          <t>مبالغ مستحقة من الحكومة</t>
        </is>
      </c>
      <c r="C26" t="inlineStr"/>
      <c r="D26" t="n">
        <v>5167</v>
      </c>
      <c r="E26" t="n">
        <v>-13228</v>
      </c>
      <c r="F26" t="n">
        <v>1377</v>
      </c>
      <c r="G26" t="n">
        <v>-3527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A27" t="inlineStr">
        <is>
          <t>item</t>
        </is>
      </c>
      <c r="B27" t="inlineStr">
        <is>
          <t>موجودات وذمم مدينة أخرى</t>
        </is>
      </c>
      <c r="C27" t="inlineStr"/>
      <c r="D27" t="n">
        <v>-3005</v>
      </c>
      <c r="E27" t="n">
        <v>-462</v>
      </c>
      <c r="F27" t="n">
        <v>-801</v>
      </c>
      <c r="G27" t="n">
        <v>-123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A28" t="inlineStr">
        <is>
          <t>item</t>
        </is>
      </c>
      <c r="B28" t="inlineStr">
        <is>
          <t>ذمم دائنة تجارية ومطلوبات أخرى</t>
        </is>
      </c>
      <c r="C28" t="inlineStr"/>
      <c r="D28" t="n">
        <v>9946</v>
      </c>
      <c r="E28" t="n">
        <v>13745</v>
      </c>
      <c r="F28" t="n">
        <v>2653</v>
      </c>
      <c r="G28" t="n">
        <v>3665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A29" t="inlineStr">
        <is>
          <t>item</t>
        </is>
      </c>
      <c r="B29" t="inlineStr">
        <is>
          <t>ريع مستحق</t>
        </is>
      </c>
      <c r="C29" t="inlineStr"/>
      <c r="D29" t="n">
        <v>-2147</v>
      </c>
      <c r="E29" t="n">
        <v>2190</v>
      </c>
      <c r="F29" t="n">
        <v>-572</v>
      </c>
      <c r="G29" t="n">
        <v>584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A30" t="inlineStr">
        <is>
          <t>section</t>
        </is>
      </c>
      <c r="B30" t="inlineStr">
        <is>
          <t>التغيرات الأخرى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A31" t="inlineStr">
        <is>
          <t>item</t>
        </is>
      </c>
      <c r="B31" t="inlineStr">
        <is>
          <t>موجودات وذمم مدينة أخرى</t>
        </is>
      </c>
      <c r="C31" t="inlineStr">
        <is>
          <t>35(ج)</t>
        </is>
      </c>
      <c r="D31" t="n">
        <v>-17740</v>
      </c>
      <c r="E31" t="n">
        <v>2973</v>
      </c>
      <c r="F31" t="n">
        <v>-4731</v>
      </c>
      <c r="G31" t="n">
        <v>792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A32" t="inlineStr">
        <is>
          <t>item</t>
        </is>
      </c>
      <c r="B32" t="inlineStr">
        <is>
          <t>مخصصات ومطلوبات أخرى</t>
        </is>
      </c>
      <c r="C32" t="inlineStr"/>
      <c r="D32" t="n">
        <v>476</v>
      </c>
      <c r="E32" t="n">
        <v>-411</v>
      </c>
      <c r="F32" t="n">
        <v>126</v>
      </c>
      <c r="G32" t="n">
        <v>-109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A33" t="inlineStr">
        <is>
          <t>item</t>
        </is>
      </c>
      <c r="B33" t="inlineStr">
        <is>
          <t>منافع ما بعد انتهاء التوظيف</t>
        </is>
      </c>
      <c r="C33" t="inlineStr"/>
      <c r="D33" t="n">
        <v>1034</v>
      </c>
      <c r="E33" t="n">
        <v>596</v>
      </c>
      <c r="F33" t="n">
        <v>276</v>
      </c>
      <c r="G33" t="n">
        <v>158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A34" t="inlineStr">
        <is>
          <t>item</t>
        </is>
      </c>
      <c r="B34" t="inlineStr">
        <is>
          <t>سداد ضريبة دخل وزكاة وضرائب أخرى</t>
        </is>
      </c>
      <c r="C34" t="inlineStr">
        <is>
          <t>8</t>
        </is>
      </c>
      <c r="D34" t="n">
        <v>-441120</v>
      </c>
      <c r="E34" t="n">
        <v>-502856</v>
      </c>
      <c r="F34" t="n">
        <v>-117633</v>
      </c>
      <c r="G34" t="n">
        <v>-134094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A35" t="inlineStr">
        <is>
          <t>total</t>
        </is>
      </c>
      <c r="B35" t="inlineStr">
        <is>
          <t>صافي النقد الناتج من أنشطة التشغيل</t>
        </is>
      </c>
      <c r="C35" t="inlineStr"/>
      <c r="D35" t="n">
        <v>537814</v>
      </c>
      <c r="E35" t="n">
        <v>698152</v>
      </c>
      <c r="F35" t="n">
        <v>143417</v>
      </c>
      <c r="G35" t="n">
        <v>186174</v>
      </c>
      <c r="R35" t="inlineStr">
        <is>
          <t>10,12,13,14,15,16,17,18,19,20,21,22,24,25,26,27,28,29,31,32,33,34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A36" t="inlineStr">
        <is>
          <t>item</t>
        </is>
      </c>
      <c r="B36" t="inlineStr">
        <is>
          <t>نفقات رأسمالية</t>
        </is>
      </c>
      <c r="C36" t="inlineStr">
        <is>
          <t>4</t>
        </is>
      </c>
      <c r="D36" t="n">
        <v>-158308</v>
      </c>
      <c r="E36" t="n">
        <v>-141161</v>
      </c>
      <c r="F36" t="n">
        <v>-42215</v>
      </c>
      <c r="G36" t="n">
        <v>-37643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A37" t="inlineStr">
        <is>
          <t>item</t>
        </is>
      </c>
      <c r="B37" t="inlineStr">
        <is>
          <t>استحواذ على شركات منتسبة، بعد خصم النقد المستحوذ عليه</t>
        </is>
      </c>
      <c r="C37" t="inlineStr">
        <is>
          <t>35(أ)</t>
        </is>
      </c>
      <c r="D37" t="n">
        <v>-9878</v>
      </c>
      <c r="E37" t="n">
        <v>-1708</v>
      </c>
      <c r="F37" t="n">
        <v>-2634</v>
      </c>
      <c r="G37" t="n">
        <v>-455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A38" t="inlineStr">
        <is>
          <t>item</t>
        </is>
      </c>
      <c r="B38" t="inlineStr">
        <is>
          <t>استثمارات إضافية في مشاريع مشتركة وشركات زميلة</t>
        </is>
      </c>
      <c r="C38" t="inlineStr">
        <is>
          <t>7</t>
        </is>
      </c>
      <c r="D38" t="n">
        <v>-3607</v>
      </c>
      <c r="E38" t="n">
        <v>-1489</v>
      </c>
      <c r="F38" t="n">
        <v>-962</v>
      </c>
      <c r="G38" t="n">
        <v>-397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A39" t="inlineStr">
        <is>
          <t>item</t>
        </is>
      </c>
      <c r="B39" t="inlineStr">
        <is>
          <t>متحصلات من بيع حصة ملكية في شركة زميلة</t>
        </is>
      </c>
      <c r="C39" t="inlineStr">
        <is>
          <t>34(ب)</t>
        </is>
      </c>
      <c r="D39" t="inlineStr">
        <is>
          <t>-</t>
        </is>
      </c>
      <c r="E39" t="n">
        <v>1651</v>
      </c>
      <c r="F39" t="inlineStr">
        <is>
          <t>-</t>
        </is>
      </c>
      <c r="G39" t="n">
        <v>440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A40" t="inlineStr">
        <is>
          <t>item</t>
        </is>
      </c>
      <c r="B40" t="inlineStr">
        <is>
          <t>توزيعات من مشاريع مشتركة وشركات زميلة</t>
        </is>
      </c>
      <c r="C40" t="inlineStr">
        <is>
          <t>7</t>
        </is>
      </c>
      <c r="D40" t="n">
        <v>3545</v>
      </c>
      <c r="E40" t="n">
        <v>4535</v>
      </c>
      <c r="F40" t="n">
        <v>945</v>
      </c>
      <c r="G40" t="n">
        <v>1210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A41" t="inlineStr">
        <is>
          <t>item</t>
        </is>
      </c>
      <c r="B41" t="inlineStr">
        <is>
          <t>توزيعات أرباح من استثمارات في أوراق مالية</t>
        </is>
      </c>
      <c r="C41" t="inlineStr">
        <is>
          <t>27</t>
        </is>
      </c>
      <c r="D41" t="n">
        <v>411</v>
      </c>
      <c r="E41" t="n">
        <v>390</v>
      </c>
      <c r="F41" t="n">
        <v>110</v>
      </c>
      <c r="G41" t="n">
        <v>104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A42" t="inlineStr">
        <is>
          <t>item</t>
        </is>
      </c>
      <c r="B42" t="inlineStr">
        <is>
          <t>فوائد مستلمة</t>
        </is>
      </c>
      <c r="C42" t="inlineStr"/>
      <c r="D42" t="n">
        <v>25628</v>
      </c>
      <c r="E42" t="n">
        <v>5950</v>
      </c>
      <c r="F42" t="n">
        <v>6834</v>
      </c>
      <c r="G42" t="n">
        <v>1587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A43" t="inlineStr">
        <is>
          <t>item</t>
        </is>
      </c>
      <c r="B43" t="inlineStr">
        <is>
          <t>صافي استثمارات في أوراق مالية</t>
        </is>
      </c>
      <c r="C43" t="inlineStr">
        <is>
          <t>35(ج)</t>
        </is>
      </c>
      <c r="D43" t="n">
        <v>-8682</v>
      </c>
      <c r="E43" t="n">
        <v>-3035</v>
      </c>
      <c r="F43" t="n">
        <v>-2316</v>
      </c>
      <c r="G43" t="n">
        <v>-810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A44" t="inlineStr">
        <is>
          <t>item</t>
        </is>
      </c>
      <c r="B44" t="inlineStr">
        <is>
          <t>صافي استحقاقات (مشتريات) استثمارات قصيرة الأجل</t>
        </is>
      </c>
      <c r="C44" t="inlineStr"/>
      <c r="D44" t="n">
        <v>96872</v>
      </c>
      <c r="E44" t="n">
        <v>-254142</v>
      </c>
      <c r="F44" t="n">
        <v>25833</v>
      </c>
      <c r="G44" t="n">
        <v>-67772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A45" t="inlineStr">
        <is>
          <t>total</t>
        </is>
      </c>
      <c r="B45" t="inlineStr">
        <is>
          <t>صافي النقد المستخدم في أنشطة الاستثمار</t>
        </is>
      </c>
      <c r="C45" t="inlineStr"/>
      <c r="D45" t="n">
        <v>-54019</v>
      </c>
      <c r="E45" t="n">
        <v>-389009</v>
      </c>
      <c r="F45" t="n">
        <v>-14405</v>
      </c>
      <c r="G45" t="n">
        <v>-103736</v>
      </c>
      <c r="R45" t="inlineStr">
        <is>
          <t>36,37,38,39,40,41,42,43,44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A46" t="inlineStr">
        <is>
          <t>item</t>
        </is>
      </c>
      <c r="B46" t="inlineStr">
        <is>
          <t>توزيعات أرباح مدفوعة إلى المساهمين في الشركة</t>
        </is>
      </c>
      <c r="C46" t="inlineStr">
        <is>
          <t>36</t>
        </is>
      </c>
      <c r="D46" t="n">
        <v>-366674</v>
      </c>
      <c r="E46" t="n">
        <v>-281318</v>
      </c>
      <c r="F46" t="n">
        <v>-97780</v>
      </c>
      <c r="G46" t="n">
        <v>-75018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A47" t="inlineStr">
        <is>
          <t>item</t>
        </is>
      </c>
      <c r="B47" t="inlineStr">
        <is>
          <t>توزيعات أرباح مدفوعة إلى حصص غير مسيطرة في شركات تابعة</t>
        </is>
      </c>
      <c r="C47" t="inlineStr"/>
      <c r="D47" t="n">
        <v>-14428</v>
      </c>
      <c r="E47" t="n">
        <v>-14417</v>
      </c>
      <c r="F47" t="n">
        <v>-3848</v>
      </c>
      <c r="G47" t="n">
        <v>-3845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A48" t="inlineStr">
        <is>
          <t>item</t>
        </is>
      </c>
      <c r="B48" t="inlineStr">
        <is>
          <t>متحصلات من بيع حصة ملكية غير مسيطرة في شركة تابعة</t>
        </is>
      </c>
      <c r="C48" t="inlineStr"/>
      <c r="D48" t="inlineStr">
        <is>
          <t>-</t>
        </is>
      </c>
      <c r="E48" t="n">
        <v>58125</v>
      </c>
      <c r="F48" t="inlineStr">
        <is>
          <t>-</t>
        </is>
      </c>
      <c r="G48" t="n">
        <v>15500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A49" t="inlineStr">
        <is>
          <t>item</t>
        </is>
      </c>
      <c r="B49" t="inlineStr">
        <is>
          <t>استحواذ على حصص غير مسيطرة في بعض الشركات التابعة</t>
        </is>
      </c>
      <c r="C49" t="inlineStr"/>
      <c r="D49" t="inlineStr">
        <is>
          <t>-</t>
        </is>
      </c>
      <c r="E49" t="n">
        <v>-230</v>
      </c>
      <c r="F49" t="inlineStr">
        <is>
          <t>-</t>
        </is>
      </c>
      <c r="G49" t="n">
        <v>-62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A50" t="inlineStr">
        <is>
          <t>item</t>
        </is>
      </c>
      <c r="B50" t="inlineStr">
        <is>
          <t>متحصلات من إصدار أسهم خزينة</t>
        </is>
      </c>
      <c r="C50" t="inlineStr">
        <is>
          <t>16</t>
        </is>
      </c>
      <c r="D50" t="n">
        <v>662</v>
      </c>
      <c r="E50" t="n">
        <v>550</v>
      </c>
      <c r="F50" t="n">
        <v>176</v>
      </c>
      <c r="G50" t="n">
        <v>146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A51" t="inlineStr">
        <is>
          <t>item</t>
        </is>
      </c>
      <c r="B51" t="inlineStr">
        <is>
          <t>متحصلات من قروض</t>
        </is>
      </c>
      <c r="C51" t="inlineStr"/>
      <c r="D51" t="n">
        <v>32057</v>
      </c>
      <c r="E51" t="n">
        <v>9082</v>
      </c>
      <c r="F51" t="n">
        <v>8549</v>
      </c>
      <c r="G51" t="n">
        <v>2422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A52" t="inlineStr">
        <is>
          <t>item</t>
        </is>
      </c>
      <c r="B52" t="inlineStr">
        <is>
          <t>سداد قروض</t>
        </is>
      </c>
      <c r="C52" t="inlineStr"/>
      <c r="D52" t="n">
        <v>-134495</v>
      </c>
      <c r="E52" t="n">
        <v>-132514</v>
      </c>
      <c r="F52" t="n">
        <v>-35865</v>
      </c>
      <c r="G52" t="n">
        <v>-35337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A53" t="inlineStr">
        <is>
          <t>item</t>
        </is>
      </c>
      <c r="B53" t="inlineStr">
        <is>
          <t>جزء رئيسي في مدفوعات عقود إيجار</t>
        </is>
      </c>
      <c r="C53" t="inlineStr"/>
      <c r="D53" t="n">
        <v>-13639</v>
      </c>
      <c r="E53" t="n">
        <v>-12114</v>
      </c>
      <c r="F53" t="n">
        <v>-3637</v>
      </c>
      <c r="G53" t="n">
        <v>-3230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A54" t="inlineStr">
        <is>
          <t>item</t>
        </is>
      </c>
      <c r="B54" t="inlineStr">
        <is>
          <t>فوائد مدفوعة</t>
        </is>
      </c>
      <c r="C54" t="inlineStr"/>
      <c r="D54" t="n">
        <v>-14352</v>
      </c>
      <c r="E54" t="n">
        <v>-9839</v>
      </c>
      <c r="F54" t="n">
        <v>-3827</v>
      </c>
      <c r="G54" t="n">
        <v>-2623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A55" t="inlineStr">
        <is>
          <t>total</t>
        </is>
      </c>
      <c r="B55" t="inlineStr">
        <is>
          <t>صافي النقد المستخدم في أنشطة التمويل</t>
        </is>
      </c>
      <c r="C55" t="inlineStr"/>
      <c r="D55" t="n">
        <v>-510869</v>
      </c>
      <c r="E55" t="n">
        <v>-382675</v>
      </c>
      <c r="F55" t="n">
        <v>-136232</v>
      </c>
      <c r="G55" t="n">
        <v>-102047</v>
      </c>
      <c r="R55" t="inlineStr">
        <is>
          <t>46,47,48,49,50,51,52,53,54</t>
        </is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A56" t="inlineStr">
        <is>
          <t>total</t>
        </is>
      </c>
      <c r="B56" t="inlineStr">
        <is>
          <t>صافي النقص في النقد وما يماثله</t>
        </is>
      </c>
      <c r="C56" t="inlineStr"/>
      <c r="D56" t="n">
        <v>-27074</v>
      </c>
      <c r="E56" t="n">
        <v>-73532</v>
      </c>
      <c r="F56" t="n">
        <v>-7220</v>
      </c>
      <c r="G56" t="n">
        <v>-19609</v>
      </c>
      <c r="R56" t="inlineStr">
        <is>
          <t>35,45,55</t>
        </is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A57" t="inlineStr">
        <is>
          <t>item</t>
        </is>
      </c>
      <c r="B57" t="inlineStr">
        <is>
          <t>النقد وما يماثله في بداية السنة</t>
        </is>
      </c>
      <c r="C57" t="inlineStr"/>
      <c r="D57" t="n">
        <v>226047</v>
      </c>
      <c r="E57" t="n">
        <v>299579</v>
      </c>
      <c r="F57" t="n">
        <v>60279</v>
      </c>
      <c r="G57" t="n">
        <v>79888</v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A58" t="inlineStr">
        <is>
          <t>total</t>
        </is>
      </c>
      <c r="B58" t="inlineStr">
        <is>
          <t>النقد وما يماثله في نهاية السنة</t>
        </is>
      </c>
      <c r="C58" t="inlineStr"/>
      <c r="D58" t="n">
        <v>198973</v>
      </c>
      <c r="E58" t="n">
        <v>226047</v>
      </c>
      <c r="F58" t="n">
        <v>53059</v>
      </c>
      <c r="G58" t="n">
        <v>60279</v>
      </c>
      <c r="R58" t="inlineStr">
        <is>
          <t>56,57</t>
        </is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