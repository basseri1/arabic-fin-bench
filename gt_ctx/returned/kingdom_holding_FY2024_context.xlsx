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6EED9F64-92C0-DC41-9308-5A9969859A21}" xr6:coauthVersionLast="47" xr6:coauthVersionMax="47" xr10:uidLastSave="{00000000-0000-0000-0000-000000000000}"/>
  <bookViews>
    <workbookView xWindow="0" yWindow="660" windowWidth="30240" windowHeight="1736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income" sheetId="4" r:id="rId4"/>
    <sheet name="3_comprehensive_income" sheetId="5" r:id="rId5"/>
    <sheet name="4_changes_in_equity" sheetId="6" r:id="rId6"/>
    <sheet name="5_cash_flow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7" l="1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</calcChain>
</file>

<file path=xl/sharedStrings.xml><?xml version="1.0" encoding="utf-8"?>
<sst xmlns="http://schemas.openxmlformats.org/spreadsheetml/2006/main" count="667" uniqueCount="233">
  <si>
    <t>Check of line items and periods — read the README.md of the packet first</t>
  </si>
  <si>
    <t/>
  </si>
  <si>
    <t>1. On the 'filing' sheet, write your name in 'annotator'.</t>
  </si>
  <si>
    <t>2. Each statement sheet already holds the figures of every printed line, in printed order, with the row kind</t>
  </si>
  <si>
    <t xml:space="preserve">   (section / item / subtotal / total) and the note references. The yellow cells are empty: that is your part.</t>
  </si>
  <si>
    <t>3. Column B (label_ar): for each row, find the printed line that carries these figures and type its label exactly</t>
  </si>
  <si>
    <t xml:space="preserve">   as printed, in Arabic. For a section row (no figures), type the heading printed at that point. A total printed</t>
  </si>
  <si>
    <t xml:space="preserve">   without a label stays empty.</t>
  </si>
  <si>
    <t>4. Row 7: type each value column's header as printed. Row 8: type the end of its period as YYYY-MM-DD (or the</t>
  </si>
  <si>
    <t xml:space="preserve">   year alone if no date is printed). In an equity statement, row 7 is the component heading (e.g. share capital).</t>
  </si>
  <si>
    <t>5. If the figures of a row are not on one printed line, or a column's figures belong to two periods, do not</t>
  </si>
  <si>
    <t xml:space="preserve">   guess: write FIGURES: or PERIOD: and an explanation in the comment column (T).</t>
  </si>
  <si>
    <t>6. Do not insert, delete or move rows or columns. Do not change the figures.</t>
  </si>
  <si>
    <t>field</t>
  </si>
  <si>
    <t>value</t>
  </si>
  <si>
    <t>help</t>
  </si>
  <si>
    <t>filing_id</t>
  </si>
  <si>
    <t>kingdom_holding_FY2024</t>
  </si>
  <si>
    <t>do not change</t>
  </si>
  <si>
    <t>entity</t>
  </si>
  <si>
    <t>Kingdom Holding</t>
  </si>
  <si>
    <t>source_url</t>
  </si>
  <si>
    <t>https://www.saudiexchange.sa/Resources/fsPdf/463_0_2025-03-17_15-51-22_Ar.pdf</t>
  </si>
  <si>
    <t>sha256</t>
  </si>
  <si>
    <t>08260242ed57b0f690fd309d9cf5fe6010a9b9fd7ce46ec6ab496c5a35f84434</t>
  </si>
  <si>
    <t>fingerprint of the exact PDF annotated</t>
  </si>
  <si>
    <t>period_end</t>
  </si>
  <si>
    <t>2024-12-31</t>
  </si>
  <si>
    <t>YYYY-MM-DD, e.g. 2024-12-31</t>
  </si>
  <si>
    <t>report</t>
  </si>
  <si>
    <t>annual</t>
  </si>
  <si>
    <t>annual / interim</t>
  </si>
  <si>
    <t>consolidated</t>
  </si>
  <si>
    <t>yes</t>
  </si>
  <si>
    <t>yes / no</t>
  </si>
  <si>
    <t>digits</t>
  </si>
  <si>
    <t>arabic-indic</t>
  </si>
  <si>
    <t>arabic-indic / western / mixed — as printed</t>
  </si>
  <si>
    <t>annotator</t>
  </si>
  <si>
    <t>your name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</si>
  <si>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</si>
  <si>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</si>
  <si>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</si>
  <si>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</si>
  <si>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</si>
  <si>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</si>
  <si>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pages</t>
  </si>
  <si>
    <t>7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</si>
  <si>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</si>
  <si>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</si>
  <si>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</si>
  <si>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</si>
  <si>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</si>
  <si>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</si>
  <si>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</si>
  <si>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</si>
  <si>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كما في ٣١ ديسمبر ٢٠٢٤</t>
  </si>
  <si>
    <t>كما في ٣١ ديسمبر ٢٠٢٣</t>
  </si>
  <si>
    <t>period →</t>
  </si>
  <si>
    <t>2023-12-31</t>
  </si>
  <si>
    <t>currency →</t>
  </si>
  <si>
    <t>section</t>
  </si>
  <si>
    <t>الموجودات</t>
  </si>
  <si>
    <t>موجودات متداولة</t>
  </si>
  <si>
    <t>item</t>
  </si>
  <si>
    <t>نقد وما يعادله</t>
  </si>
  <si>
    <t>5</t>
  </si>
  <si>
    <t>استثمارات بالقيمة العادلة من خلال الربح أو الخسارة</t>
  </si>
  <si>
    <t>6</t>
  </si>
  <si>
    <t>ذمم مدينة تجارية</t>
  </si>
  <si>
    <t>مبالغ مدفوعة مقدماً وموجودات متداولة أخرى</t>
  </si>
  <si>
    <t>8</t>
  </si>
  <si>
    <t>مطلوب من أطراف ذات علاقة</t>
  </si>
  <si>
    <t>9</t>
  </si>
  <si>
    <t>subtotal</t>
  </si>
  <si>
    <t>مجموع الموجودات المتداولة</t>
  </si>
  <si>
    <t>1</t>
  </si>
  <si>
    <t>موجودات غير متداولة</t>
  </si>
  <si>
    <t>استثمارات بالقيمة العادلة من خلال الدخل الشامل الآخر</t>
  </si>
  <si>
    <t>10</t>
  </si>
  <si>
    <t>الشركات المستثمر بها بطريقة حقوق الملكية</t>
  </si>
  <si>
    <t>11</t>
  </si>
  <si>
    <t>ذمم مدينة طويلة الأجل</t>
  </si>
  <si>
    <t>-</t>
  </si>
  <si>
    <t>عقارات استثمارية</t>
  </si>
  <si>
    <t>12</t>
  </si>
  <si>
    <t>ممتلكات ومعدات</t>
  </si>
  <si>
    <t>13</t>
  </si>
  <si>
    <t>شهرة وموجودات غير ملموسة</t>
  </si>
  <si>
    <t>14</t>
  </si>
  <si>
    <t>موجودات ضريبية مؤجلة</t>
  </si>
  <si>
    <t>19</t>
  </si>
  <si>
    <t>موجودات أخرى طويلة الأجل</t>
  </si>
  <si>
    <t>15</t>
  </si>
  <si>
    <t>مجموع الموجودات غير المتداولة</t>
  </si>
  <si>
    <t>total</t>
  </si>
  <si>
    <t>مجموع الموجودات</t>
  </si>
  <si>
    <t>المطلوبات وحقوق الملكية</t>
  </si>
  <si>
    <t>مطلوبات متداولة</t>
  </si>
  <si>
    <t>قروض</t>
  </si>
  <si>
    <t>16</t>
  </si>
  <si>
    <t>الأدوات المالية المشتقة</t>
  </si>
  <si>
    <t>36</t>
  </si>
  <si>
    <t>ذمم دائنة ومصاريف مستحقة ومطلوبات متداولة أخرى</t>
  </si>
  <si>
    <t>17</t>
  </si>
  <si>
    <t>مخصص الزكاة وضريبة الدخل</t>
  </si>
  <si>
    <t>18</t>
  </si>
  <si>
    <t>مطلوب إلى أطراف ذات علاقة</t>
  </si>
  <si>
    <t>توزيعات أرباح مستحقة</t>
  </si>
  <si>
    <t>35</t>
  </si>
  <si>
    <t>مجموع المطلوبات المتداولة</t>
  </si>
  <si>
    <t>مطلوبات غير متداولة</t>
  </si>
  <si>
    <t>مطلوب إلى طرف ذو علاقة</t>
  </si>
  <si>
    <t>مطلوبات ضريبية مؤجلة</t>
  </si>
  <si>
    <t>التزامات منافع الموظفين</t>
  </si>
  <si>
    <t>32</t>
  </si>
  <si>
    <t>مطلوبات أخرى طويلة الأجل</t>
  </si>
  <si>
    <t>مجموع المطلوبات غير المتداولة</t>
  </si>
  <si>
    <t>مجموع المطلوبات</t>
  </si>
  <si>
    <t>صافي الموجودات</t>
  </si>
  <si>
    <t>حقوق الملكية</t>
  </si>
  <si>
    <t>رأس المال</t>
  </si>
  <si>
    <t>20</t>
  </si>
  <si>
    <t>احتياطي نظامي</t>
  </si>
  <si>
    <t>21</t>
  </si>
  <si>
    <t>أرباح مبقاة</t>
  </si>
  <si>
    <t>احتياطي القيمة العادلة لاستثمارات بالقيمة العادلة من خلال الدخل الشامل الآخر</t>
  </si>
  <si>
    <t>احتياطيات أخرى</t>
  </si>
  <si>
    <t>حقوق الملكية العائدة لمساهمي الشركة</t>
  </si>
  <si>
    <t>حصص غير مسيطرة</t>
  </si>
  <si>
    <t>22</t>
  </si>
  <si>
    <t>مجموع حقوق الملكية</t>
  </si>
  <si>
    <t>income</t>
  </si>
  <si>
    <t>السنة المنتهية في ٣١ ديسمبر ٢٠٢٤</t>
  </si>
  <si>
    <t>السنة المنتهية في ٣١ ديسمبر ٢٠٢٣</t>
  </si>
  <si>
    <t>فنادق وإيرادات تشغيلية أخرى</t>
  </si>
  <si>
    <t>23</t>
  </si>
  <si>
    <t>فنادق ومصاريف تشغيلية أخرى</t>
  </si>
  <si>
    <t>24</t>
  </si>
  <si>
    <t>دخل توزيعات أرباح</t>
  </si>
  <si>
    <t>25</t>
  </si>
  <si>
    <t>ربح من استثمارات بالقيمة العادلة من خلال الربح أو الخسارة</t>
  </si>
  <si>
    <t>26</t>
  </si>
  <si>
    <t>مصاريف عمومية وإدارية وتسويقية</t>
  </si>
  <si>
    <t>27</t>
  </si>
  <si>
    <t>الانخفاض في قيمة الموجودات المالية</t>
  </si>
  <si>
    <t>الحصة في الربح من نتائج أعمال الشركات المستثمر بها بطريقة حقوق الملكية</t>
  </si>
  <si>
    <t>عكس الانخفاض في قيمة الاستثمار المحاسبي وفقاً لحقوق الملكية</t>
  </si>
  <si>
    <t>مكاسب من البيع الجزئي للشركة المستثمر فيها بطريقة حقوق الملكية</t>
  </si>
  <si>
    <t>مكاسب أخرى، بالصافي</t>
  </si>
  <si>
    <t>37</t>
  </si>
  <si>
    <t>الدخل من العمليات</t>
  </si>
  <si>
    <t>إيرادات مالية</t>
  </si>
  <si>
    <t>نفقات مالية</t>
  </si>
  <si>
    <t>28</t>
  </si>
  <si>
    <t>الدخل قبل الزكاة وضريبة الاستقطاع وضريبة الدخل</t>
  </si>
  <si>
    <t>ضريبة الدخل والاستقطاع</t>
  </si>
  <si>
    <t>الزكاة</t>
  </si>
  <si>
    <t>الدخل للسنة</t>
  </si>
  <si>
    <t>الربح للسنة العائد إلى:</t>
  </si>
  <si>
    <t>- مساهمي الشركة</t>
  </si>
  <si>
    <t>- الحصص غير المسيطرة</t>
  </si>
  <si>
    <t>ربحية السهم الأساسية والمخفضة (بالريال السعودي)</t>
  </si>
  <si>
    <t>34</t>
  </si>
  <si>
    <t>comprehensive_income</t>
  </si>
  <si>
    <t>الربح للسنة</t>
  </si>
  <si>
    <t>الدخل / (الخسارة) الشاملة الأخرى</t>
  </si>
  <si>
    <t>بنود لن يعاد تصنيفها إلى الربح أو الخسارة:</t>
  </si>
  <si>
    <t>خسارة غير محققة من استثمارات بالقيمة العادلة من خلال الدخل الشامل الآخر</t>
  </si>
  <si>
    <t>إعادة قياس الربح / (الخسارة) لالتزامات منافع نهاية الخدمة</t>
  </si>
  <si>
    <t>بنود قد يعاد تصنيفها إلى الربح أو الخسارة:</t>
  </si>
  <si>
    <t>الحصة في الربح / (الخسارة) الشاملة الأخرى للشركات المستثمر بها بطريقة حقوق الملكية</t>
  </si>
  <si>
    <t>تغيرات القيمة العادلة على التحوط للتدفقات النقدية لمشتقات مقايضة أسعار الفائدة</t>
  </si>
  <si>
    <t>فروقات صرف من تحويل العمليات الأجنبية</t>
  </si>
  <si>
    <t>الربح / (الخسارة) الشاملة الأخرى</t>
  </si>
  <si>
    <t>مجموع الدخل الشامل للسنة</t>
  </si>
  <si>
    <t>مجموع الدخل الشامل للسنة العائد إلى:</t>
  </si>
  <si>
    <t>changes_in_equity</t>
  </si>
  <si>
    <t>الرصيد في ١ يناير ٢٠٢٤</t>
  </si>
  <si>
    <t>الربح / (الخسارة) للسنة</t>
  </si>
  <si>
    <t>الخسارة الشاملة الأخرى</t>
  </si>
  <si>
    <t>مجموع الدخل / (الخسارة) الشاملة</t>
  </si>
  <si>
    <t>المحول الى احتياطي نظامي</t>
  </si>
  <si>
    <t>تحويل الخسائر من استبعاد استثمارات بالقيمة العادلة من خلال الدخل الشامل الآخر إلى الأرباح المبقاة (إيضاح رقم ١٠)</t>
  </si>
  <si>
    <t>توزيعات أرباح معلنة (إيضاح رقم ٣٤)</t>
  </si>
  <si>
    <t>الرصيد في ٣١ ديسمبر ٢٠٢٤</t>
  </si>
  <si>
    <t>الرصيد في ١ يناير ٢٠٢٣</t>
  </si>
  <si>
    <t>(الخسارة) للسنة</t>
  </si>
  <si>
    <t>تحويل مكاسب من استبعاد استثمارات حقوق الملكية بالقيمة العادلة من خلال الدخل الشامل الآخر إلى الأرباح المبقاة (إيضاح رقم ١٠)</t>
  </si>
  <si>
    <t>توزيعات أرباح معلنة ( إيضاح رقم ٣٥)</t>
  </si>
  <si>
    <t>الرصيد في ٣١ ديسمبر ٢٠٢٣</t>
  </si>
  <si>
    <t>cash_flows</t>
  </si>
  <si>
    <t>التدفقات النقدية من الأنشطة التشغيلية</t>
  </si>
  <si>
    <t>الدخل قبل الزكاة وضريبة الدخل</t>
  </si>
  <si>
    <t>تعديلات لبنود غير نقدية</t>
  </si>
  <si>
    <t>الحصة في نتائج الشركات المستثمر بها بطريقة حقوق الملكية</t>
  </si>
  <si>
    <t>استهلاك وإطفاء</t>
  </si>
  <si>
    <t>12، 13، 14</t>
  </si>
  <si>
    <t>ربح غير محقق من استثمارات بالقيمة العادلة من خلال الربح أو الخسارة</t>
  </si>
  <si>
    <t>صافي مكاسب القيمة العادلة للمشتقات المالية</t>
  </si>
  <si>
    <t>مكاسب من بيع عقار استثماري</t>
  </si>
  <si>
    <t>دخل التمويل</t>
  </si>
  <si>
    <t>نفقات التمويل</t>
  </si>
  <si>
    <t>مخصص التزامات منافع الموظفين</t>
  </si>
  <si>
    <t>التغيرات في الموجودات والمطلوبات التشغيلية</t>
  </si>
  <si>
    <t>زكاة وضريبة دخل مدفوعة</t>
  </si>
  <si>
    <t>التزامات منافع الموظفين المدفوعة خلال السنة</t>
  </si>
  <si>
    <t>صافي النقد الناتج من الأنشطة التشغيلية</t>
  </si>
  <si>
    <t>التدفقات النقدية من الأنشطة الاستثمارية</t>
  </si>
  <si>
    <t>شراء استثمارات بالقيمة العادلة من خلال الدخل الشامل الآخر</t>
  </si>
  <si>
    <t>متحصلات من بيع استثمارات بالقيمة العادلة من خلال الدخل الشامل الآخر</t>
  </si>
  <si>
    <t>10، 9</t>
  </si>
  <si>
    <t>توزيعات الأرباح من الشركات المستثمر بها بطريقة حقوق الملكية</t>
  </si>
  <si>
    <t>إضافات إلى العقارات الاستثمارية</t>
  </si>
  <si>
    <t>العائدات من بيع العقارات الاستثمارية</t>
  </si>
  <si>
    <t>إضافات إلى ممتلكات ومعدات</t>
  </si>
  <si>
    <t>المتحصلات من بيع الشركة المستثمر بها بطريقة حقوق الملكية</t>
  </si>
  <si>
    <t>الإضافات إلى الشهرة التجارية</t>
  </si>
  <si>
    <t>اصول طويلة الاجل اخرى</t>
  </si>
  <si>
    <t>صافي النقد الناتج من الأنشطة الاستثمارية</t>
  </si>
  <si>
    <t>التدفقات النقدية من الأنشطة التمويلية</t>
  </si>
  <si>
    <t>متحصلات من القروض</t>
  </si>
  <si>
    <t>تسديد قروض</t>
  </si>
  <si>
    <t>توزيعات أرباح مدفوعة</t>
  </si>
  <si>
    <t>الحركة في النقد المقيد</t>
  </si>
  <si>
    <t>نفقات تمويل مدفوعة</t>
  </si>
  <si>
    <t>سداد قرض الطرف ذو العلاقة</t>
  </si>
  <si>
    <t>متحصلات من قرض من طرف ذي علاقة</t>
  </si>
  <si>
    <t>صافي النقد المستخدم في الأنشطة التمويلية</t>
  </si>
  <si>
    <t>صافي التغير في النقد وما يماثله</t>
  </si>
  <si>
    <t>نقد وما يعادله في بداية السنة</t>
  </si>
  <si>
    <t>نقد وما يعادله في نهاية السنة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</si>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</sst>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DejaVu Sans"/>
    </font>
  </fonts>
  <fills count="5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3" fillId="4" borderId="0" xfId="0" applyFont="1" applyFill="1" applyAlignment="1">
      <alignment horizontal="right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baseColWidth="10" defaultColWidth="8.83203125" defaultRowHeight="15"/>
  <cols>
    <col min="1" max="1" width="1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16" customWidth="1"/>
    <col min="2" max="2" width="70" customWidth="1"/>
    <col min="3" max="3" width="44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</row>
    <row r="4" spans="1:3">
      <c r="A4" t="s">
        <v>21</v>
      </c>
      <c r="B4" t="s">
        <v>22</v>
      </c>
    </row>
    <row r="5" spans="1:3">
      <c r="A5" t="s">
        <v>23</v>
      </c>
      <c r="B5" t="s">
        <v>24</v>
      </c>
      <c r="C5" t="s">
        <v>25</v>
      </c>
    </row>
    <row r="6" spans="1:3">
      <c r="A6" t="s">
        <v>26</v>
      </c>
      <c r="B6" t="s">
        <v>27</v>
      </c>
      <c r="C6" t="s">
        <v>28</v>
      </c>
    </row>
    <row r="7" spans="1:3">
      <c r="A7" t="s">
        <v>29</v>
      </c>
      <c r="B7" t="s">
        <v>30</v>
      </c>
      <c r="C7" t="s">
        <v>31</v>
      </c>
    </row>
    <row r="8" spans="1:3">
      <c r="A8" t="s">
        <v>32</v>
      </c>
      <c r="B8" t="s">
        <v>33</v>
      </c>
      <c r="C8" t="s">
        <v>34</v>
      </c>
    </row>
    <row r="9" spans="1:3">
      <c r="A9" t="s">
        <v>35</v>
      </c>
      <c r="B9" t="s">
        <v>36</v>
      </c>
      <c r="C9" t="s">
        <v>37</v>
      </c>
    </row>
    <row r="10" spans="1:3">
      <c r="A10" t="s">
        <v>38</v>
      </c>
      <c r="B10" t="s">
        <v>232</v>
      </c>
      <c r="C10" t="s">
        <v>39</v>
      </c>
    </row>
    <row r="11" spans="1:3">
      <c r="A11" t="s">
        <v>40</v>
      </c>
      <c r="C11" t="s">
        <v>41</v>
      </c>
    </row>
    <row r="12" spans="1:3">
      <c r="A1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workbookViewId="0">
      <pane xSplit="3" ySplit="9" topLeftCell="M44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44</v>
      </c>
    </row>
    <row r="2" spans="1:20">
      <c r="A2" s="2" t="s">
        <v>45</v>
      </c>
      <c r="B2" s="3"/>
    </row>
    <row r="3" spans="1:20">
      <c r="A3" s="2" t="s">
        <v>46</v>
      </c>
      <c r="B3" s="3" t="s">
        <v>47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1000</v>
      </c>
      <c r="C5" t="s">
        <v>52</v>
      </c>
    </row>
    <row r="7" spans="1:20" ht="40" customHeight="1">
      <c r="A7" s="4" t="s">
        <v>53</v>
      </c>
      <c r="B7" s="4" t="s">
        <v>54</v>
      </c>
      <c r="C7" s="4" t="s">
        <v>55</v>
      </c>
      <c r="D7" s="8" t="s">
        <v>56</v>
      </c>
      <c r="E7" s="8" t="s">
        <v>57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59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61</v>
      </c>
      <c r="B10" s="7" t="s">
        <v>62</v>
      </c>
    </row>
    <row r="11" spans="1:20" ht="21" customHeight="1">
      <c r="A11" t="s">
        <v>61</v>
      </c>
      <c r="B11" s="7" t="s">
        <v>63</v>
      </c>
    </row>
    <row r="12" spans="1:20" ht="21" customHeight="1">
      <c r="A12" t="s">
        <v>64</v>
      </c>
      <c r="B12" s="7" t="s">
        <v>65</v>
      </c>
      <c r="C12" t="s">
        <v>66</v>
      </c>
      <c r="D12">
        <v>1689658</v>
      </c>
      <c r="E12">
        <v>1923789</v>
      </c>
    </row>
    <row r="13" spans="1:20" ht="21" customHeight="1">
      <c r="A13" t="s">
        <v>64</v>
      </c>
      <c r="B13" s="7" t="s">
        <v>67</v>
      </c>
      <c r="C13" t="s">
        <v>68</v>
      </c>
      <c r="D13">
        <v>243421</v>
      </c>
      <c r="E13">
        <v>232576</v>
      </c>
    </row>
    <row r="14" spans="1:20" ht="21" customHeight="1">
      <c r="A14" t="s">
        <v>64</v>
      </c>
      <c r="B14" s="7" t="s">
        <v>69</v>
      </c>
      <c r="C14" t="s">
        <v>47</v>
      </c>
      <c r="D14">
        <v>252385</v>
      </c>
      <c r="E14">
        <v>429486</v>
      </c>
    </row>
    <row r="15" spans="1:20" ht="21" customHeight="1">
      <c r="A15" t="s">
        <v>64</v>
      </c>
      <c r="B15" s="7" t="s">
        <v>70</v>
      </c>
      <c r="C15" t="s">
        <v>71</v>
      </c>
      <c r="D15">
        <v>329109</v>
      </c>
      <c r="E15">
        <v>230226</v>
      </c>
    </row>
    <row r="16" spans="1:20" ht="21" customHeight="1">
      <c r="A16" t="s">
        <v>64</v>
      </c>
      <c r="B16" s="7" t="s">
        <v>72</v>
      </c>
      <c r="C16" t="s">
        <v>73</v>
      </c>
      <c r="D16">
        <v>114893</v>
      </c>
      <c r="E16">
        <v>123858</v>
      </c>
    </row>
    <row r="17" spans="1:5" ht="21" customHeight="1">
      <c r="A17" t="s">
        <v>74</v>
      </c>
      <c r="B17" s="7" t="s">
        <v>75</v>
      </c>
      <c r="C17" t="s">
        <v>76</v>
      </c>
      <c r="D17">
        <v>2629466</v>
      </c>
      <c r="E17">
        <v>2939935</v>
      </c>
    </row>
    <row r="18" spans="1:5" ht="21" customHeight="1">
      <c r="A18" t="s">
        <v>61</v>
      </c>
      <c r="B18" s="7" t="s">
        <v>77</v>
      </c>
    </row>
    <row r="19" spans="1:5" ht="21" customHeight="1">
      <c r="A19" t="s">
        <v>64</v>
      </c>
      <c r="B19" s="7" t="s">
        <v>78</v>
      </c>
      <c r="C19" t="s">
        <v>79</v>
      </c>
      <c r="D19">
        <v>22105792</v>
      </c>
      <c r="E19">
        <v>19502567</v>
      </c>
    </row>
    <row r="20" spans="1:5" ht="21" customHeight="1">
      <c r="A20" t="s">
        <v>64</v>
      </c>
      <c r="B20" s="7" t="s">
        <v>80</v>
      </c>
      <c r="C20" t="s">
        <v>81</v>
      </c>
      <c r="D20">
        <v>18196697</v>
      </c>
      <c r="E20">
        <v>17172435</v>
      </c>
    </row>
    <row r="21" spans="1:5" ht="21" customHeight="1">
      <c r="A21" t="s">
        <v>64</v>
      </c>
      <c r="B21" s="7" t="s">
        <v>82</v>
      </c>
      <c r="C21" t="s">
        <v>47</v>
      </c>
      <c r="D21" t="s">
        <v>83</v>
      </c>
      <c r="E21">
        <v>1250399</v>
      </c>
    </row>
    <row r="22" spans="1:5" ht="21" customHeight="1">
      <c r="A22" t="s">
        <v>64</v>
      </c>
      <c r="B22" s="7" t="s">
        <v>84</v>
      </c>
      <c r="C22" t="s">
        <v>85</v>
      </c>
      <c r="D22">
        <v>3124986</v>
      </c>
      <c r="E22">
        <v>3997522</v>
      </c>
    </row>
    <row r="23" spans="1:5" ht="21" customHeight="1">
      <c r="A23" t="s">
        <v>64</v>
      </c>
      <c r="B23" s="7" t="s">
        <v>86</v>
      </c>
      <c r="C23" t="s">
        <v>87</v>
      </c>
      <c r="D23">
        <v>6801405</v>
      </c>
      <c r="E23">
        <v>6823581</v>
      </c>
    </row>
    <row r="24" spans="1:5" ht="21" customHeight="1">
      <c r="A24" t="s">
        <v>64</v>
      </c>
      <c r="B24" s="7" t="s">
        <v>88</v>
      </c>
      <c r="C24" t="s">
        <v>89</v>
      </c>
      <c r="D24">
        <v>1789159</v>
      </c>
      <c r="E24">
        <v>1839916</v>
      </c>
    </row>
    <row r="25" spans="1:5" ht="21" customHeight="1">
      <c r="A25" t="s">
        <v>64</v>
      </c>
      <c r="B25" s="7" t="s">
        <v>90</v>
      </c>
      <c r="C25" t="s">
        <v>91</v>
      </c>
      <c r="D25">
        <v>20326</v>
      </c>
      <c r="E25">
        <v>20364</v>
      </c>
    </row>
    <row r="26" spans="1:5" ht="21" customHeight="1">
      <c r="A26" t="s">
        <v>64</v>
      </c>
      <c r="B26" s="7" t="s">
        <v>92</v>
      </c>
      <c r="C26" t="s">
        <v>93</v>
      </c>
      <c r="D26">
        <v>51381</v>
      </c>
      <c r="E26">
        <v>551616</v>
      </c>
    </row>
    <row r="27" spans="1:5" ht="21" customHeight="1">
      <c r="A27" t="s">
        <v>74</v>
      </c>
      <c r="B27" s="7" t="s">
        <v>94</v>
      </c>
      <c r="D27">
        <v>52089746</v>
      </c>
      <c r="E27">
        <v>51158400</v>
      </c>
    </row>
    <row r="28" spans="1:5" ht="21" customHeight="1">
      <c r="A28" t="s">
        <v>95</v>
      </c>
      <c r="B28" s="7" t="s">
        <v>96</v>
      </c>
      <c r="D28">
        <v>54719212</v>
      </c>
      <c r="E28">
        <v>54098335</v>
      </c>
    </row>
    <row r="29" spans="1:5" ht="21" customHeight="1">
      <c r="A29" t="s">
        <v>61</v>
      </c>
      <c r="B29" s="7" t="s">
        <v>97</v>
      </c>
    </row>
    <row r="30" spans="1:5" ht="21" customHeight="1">
      <c r="A30" t="s">
        <v>61</v>
      </c>
      <c r="B30" s="7" t="s">
        <v>98</v>
      </c>
    </row>
    <row r="31" spans="1:5" ht="21" customHeight="1">
      <c r="A31" t="s">
        <v>64</v>
      </c>
      <c r="B31" s="7" t="s">
        <v>99</v>
      </c>
      <c r="C31" t="s">
        <v>100</v>
      </c>
      <c r="D31">
        <v>3045759</v>
      </c>
      <c r="E31">
        <v>2208888</v>
      </c>
    </row>
    <row r="32" spans="1:5" ht="21" customHeight="1">
      <c r="A32" t="s">
        <v>64</v>
      </c>
      <c r="B32" s="7" t="s">
        <v>101</v>
      </c>
      <c r="C32" t="s">
        <v>102</v>
      </c>
      <c r="D32" t="s">
        <v>83</v>
      </c>
      <c r="E32">
        <v>13682</v>
      </c>
    </row>
    <row r="33" spans="1:5" ht="21" customHeight="1">
      <c r="A33" t="s">
        <v>64</v>
      </c>
      <c r="B33" s="7" t="s">
        <v>103</v>
      </c>
      <c r="C33" t="s">
        <v>104</v>
      </c>
      <c r="D33">
        <v>969845</v>
      </c>
      <c r="E33">
        <v>994056</v>
      </c>
    </row>
    <row r="34" spans="1:5" ht="21" customHeight="1">
      <c r="A34" t="s">
        <v>64</v>
      </c>
      <c r="B34" s="7" t="s">
        <v>105</v>
      </c>
      <c r="C34" t="s">
        <v>106</v>
      </c>
      <c r="D34">
        <v>492203</v>
      </c>
      <c r="E34">
        <v>362674</v>
      </c>
    </row>
    <row r="35" spans="1:5" ht="21" customHeight="1">
      <c r="A35" t="s">
        <v>64</v>
      </c>
      <c r="B35" s="7" t="s">
        <v>107</v>
      </c>
      <c r="C35" t="s">
        <v>73</v>
      </c>
      <c r="D35">
        <v>240</v>
      </c>
      <c r="E35">
        <v>101115</v>
      </c>
    </row>
    <row r="36" spans="1:5" ht="21" customHeight="1">
      <c r="A36" t="s">
        <v>64</v>
      </c>
      <c r="B36" s="7" t="s">
        <v>108</v>
      </c>
      <c r="C36" t="s">
        <v>109</v>
      </c>
      <c r="D36">
        <v>259411</v>
      </c>
      <c r="E36">
        <v>259376</v>
      </c>
    </row>
    <row r="37" spans="1:5" ht="21" customHeight="1">
      <c r="A37" t="s">
        <v>74</v>
      </c>
      <c r="B37" s="7" t="s">
        <v>110</v>
      </c>
      <c r="C37" t="s">
        <v>76</v>
      </c>
      <c r="D37">
        <v>4767458</v>
      </c>
      <c r="E37">
        <v>3939791</v>
      </c>
    </row>
    <row r="38" spans="1:5" ht="21" customHeight="1">
      <c r="A38" t="s">
        <v>61</v>
      </c>
      <c r="B38" s="7" t="s">
        <v>111</v>
      </c>
    </row>
    <row r="39" spans="1:5" ht="21" customHeight="1">
      <c r="A39" t="s">
        <v>64</v>
      </c>
      <c r="B39" s="7" t="s">
        <v>99</v>
      </c>
      <c r="C39" t="s">
        <v>100</v>
      </c>
      <c r="D39">
        <v>9551676</v>
      </c>
      <c r="E39">
        <v>12763240</v>
      </c>
    </row>
    <row r="40" spans="1:5" ht="21" customHeight="1">
      <c r="A40" t="s">
        <v>64</v>
      </c>
      <c r="B40" s="7" t="s">
        <v>101</v>
      </c>
      <c r="C40" t="s">
        <v>102</v>
      </c>
      <c r="D40">
        <v>62799</v>
      </c>
      <c r="E40">
        <v>61245</v>
      </c>
    </row>
    <row r="41" spans="1:5" ht="21" customHeight="1">
      <c r="A41" t="s">
        <v>64</v>
      </c>
      <c r="B41" s="7" t="s">
        <v>112</v>
      </c>
      <c r="C41" t="s">
        <v>73</v>
      </c>
      <c r="D41">
        <v>510799</v>
      </c>
      <c r="E41">
        <v>440793</v>
      </c>
    </row>
    <row r="42" spans="1:5" ht="21" customHeight="1">
      <c r="A42" t="s">
        <v>64</v>
      </c>
      <c r="B42" s="7" t="s">
        <v>113</v>
      </c>
      <c r="C42" t="s">
        <v>91</v>
      </c>
      <c r="D42">
        <v>107594</v>
      </c>
      <c r="E42">
        <v>112444</v>
      </c>
    </row>
    <row r="43" spans="1:5" ht="21" customHeight="1">
      <c r="A43" t="s">
        <v>64</v>
      </c>
      <c r="B43" s="7" t="s">
        <v>114</v>
      </c>
      <c r="C43" t="s">
        <v>115</v>
      </c>
      <c r="D43">
        <v>93501</v>
      </c>
      <c r="E43">
        <v>88110</v>
      </c>
    </row>
    <row r="44" spans="1:5" ht="21" customHeight="1">
      <c r="A44" t="s">
        <v>64</v>
      </c>
      <c r="B44" s="7" t="s">
        <v>116</v>
      </c>
      <c r="D44">
        <v>66543</v>
      </c>
      <c r="E44">
        <v>68294</v>
      </c>
    </row>
    <row r="45" spans="1:5" ht="21" customHeight="1">
      <c r="A45" t="s">
        <v>74</v>
      </c>
      <c r="B45" s="7" t="s">
        <v>117</v>
      </c>
      <c r="D45">
        <v>10392912</v>
      </c>
      <c r="E45">
        <v>13534126</v>
      </c>
    </row>
    <row r="46" spans="1:5" ht="21" customHeight="1">
      <c r="A46" t="s">
        <v>95</v>
      </c>
      <c r="B46" s="7" t="s">
        <v>118</v>
      </c>
      <c r="D46">
        <v>15160370</v>
      </c>
      <c r="E46">
        <v>17473917</v>
      </c>
    </row>
    <row r="47" spans="1:5" ht="21" customHeight="1">
      <c r="A47" t="s">
        <v>95</v>
      </c>
      <c r="B47" s="7" t="s">
        <v>119</v>
      </c>
      <c r="D47">
        <v>39558842</v>
      </c>
      <c r="E47">
        <v>36624418</v>
      </c>
    </row>
    <row r="48" spans="1:5" ht="21" customHeight="1">
      <c r="A48" t="s">
        <v>61</v>
      </c>
      <c r="B48" s="7" t="s">
        <v>120</v>
      </c>
    </row>
    <row r="49" spans="1:19" ht="21" customHeight="1">
      <c r="A49" t="s">
        <v>64</v>
      </c>
      <c r="B49" s="7" t="s">
        <v>121</v>
      </c>
      <c r="C49" t="s">
        <v>122</v>
      </c>
      <c r="D49">
        <v>37058823</v>
      </c>
      <c r="E49">
        <v>37058823</v>
      </c>
    </row>
    <row r="50" spans="1:19" ht="21" customHeight="1">
      <c r="A50" t="s">
        <v>64</v>
      </c>
      <c r="B50" s="7" t="s">
        <v>123</v>
      </c>
      <c r="C50" t="s">
        <v>124</v>
      </c>
      <c r="D50">
        <v>1798157</v>
      </c>
      <c r="E50">
        <v>1674460</v>
      </c>
    </row>
    <row r="51" spans="1:19" ht="21" customHeight="1">
      <c r="A51" t="s">
        <v>64</v>
      </c>
      <c r="B51" s="7" t="s">
        <v>125</v>
      </c>
      <c r="D51">
        <v>2533203</v>
      </c>
      <c r="E51">
        <v>3352240</v>
      </c>
    </row>
    <row r="52" spans="1:19" ht="38" customHeight="1">
      <c r="A52" t="s">
        <v>64</v>
      </c>
      <c r="B52" s="7" t="s">
        <v>126</v>
      </c>
      <c r="C52" t="s">
        <v>79</v>
      </c>
      <c r="D52">
        <v>-2372493</v>
      </c>
      <c r="E52">
        <v>-6758124</v>
      </c>
    </row>
    <row r="53" spans="1:19" ht="21" customHeight="1">
      <c r="A53" t="s">
        <v>64</v>
      </c>
      <c r="B53" s="7" t="s">
        <v>127</v>
      </c>
      <c r="C53" t="s">
        <v>124</v>
      </c>
      <c r="D53">
        <v>-84561</v>
      </c>
      <c r="E53">
        <v>-155857</v>
      </c>
    </row>
    <row r="54" spans="1:19" ht="21" customHeight="1">
      <c r="A54" t="s">
        <v>74</v>
      </c>
      <c r="B54" s="7" t="s">
        <v>128</v>
      </c>
      <c r="D54">
        <v>38933129</v>
      </c>
      <c r="E54">
        <v>35171542</v>
      </c>
    </row>
    <row r="55" spans="1:19" ht="21" customHeight="1">
      <c r="A55" t="s">
        <v>64</v>
      </c>
      <c r="B55" s="7" t="s">
        <v>129</v>
      </c>
      <c r="C55" t="s">
        <v>130</v>
      </c>
      <c r="D55">
        <v>625713</v>
      </c>
      <c r="E55">
        <v>1452876</v>
      </c>
    </row>
    <row r="56" spans="1:19" ht="21" customHeight="1">
      <c r="A56" t="s">
        <v>95</v>
      </c>
      <c r="B56" s="7" t="s">
        <v>131</v>
      </c>
      <c r="D56">
        <v>39558842</v>
      </c>
      <c r="E56">
        <v>36624418</v>
      </c>
    </row>
    <row r="57" spans="1:19">
      <c r="S57" t="str">
        <f t="shared" ref="S57:S88" ca="1" si="0"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 spans="1:19">
      <c r="S58" t="str">
        <f t="shared" ca="1" si="0"/>
        <v/>
      </c>
    </row>
    <row r="59" spans="1:19">
      <c r="S59" t="str">
        <f t="shared" ca="1" si="0"/>
        <v/>
      </c>
    </row>
    <row r="60" spans="1:19">
      <c r="S60" t="str">
        <f t="shared" ca="1" si="0"/>
        <v/>
      </c>
    </row>
    <row r="61" spans="1:19">
      <c r="S61" t="str">
        <f t="shared" ca="1" si="0"/>
        <v/>
      </c>
    </row>
    <row r="62" spans="1:19">
      <c r="S62" t="str">
        <f t="shared" ca="1" si="0"/>
        <v/>
      </c>
    </row>
    <row r="63" spans="1:19">
      <c r="S63" t="str">
        <f t="shared" ca="1" si="0"/>
        <v/>
      </c>
    </row>
    <row r="64" spans="1:19">
      <c r="S64" t="str">
        <f t="shared" ca="1" si="0"/>
        <v/>
      </c>
    </row>
    <row r="65" spans="19:19">
      <c r="S65" t="str">
        <f t="shared" ca="1" si="0"/>
        <v/>
      </c>
    </row>
    <row r="66" spans="19:19">
      <c r="S66" t="str">
        <f t="shared" ca="1" si="0"/>
        <v/>
      </c>
    </row>
    <row r="67" spans="19:19">
      <c r="S67" t="str">
        <f t="shared" ca="1" si="0"/>
        <v/>
      </c>
    </row>
    <row r="68" spans="19:19">
      <c r="S68" t="str">
        <f t="shared" ca="1" si="0"/>
        <v/>
      </c>
    </row>
    <row r="69" spans="19:19">
      <c r="S69" t="str">
        <f t="shared" ca="1" si="0"/>
        <v/>
      </c>
    </row>
    <row r="70" spans="19:19">
      <c r="S70" t="str">
        <f t="shared" ca="1" si="0"/>
        <v/>
      </c>
    </row>
    <row r="71" spans="19:19">
      <c r="S71" t="str">
        <f t="shared" ca="1" si="0"/>
        <v/>
      </c>
    </row>
    <row r="72" spans="19:19">
      <c r="S72" t="str">
        <f t="shared" ca="1" si="0"/>
        <v/>
      </c>
    </row>
    <row r="73" spans="19:19">
      <c r="S73" t="str">
        <f t="shared" ca="1" si="0"/>
        <v/>
      </c>
    </row>
    <row r="74" spans="19:19">
      <c r="S74" t="str">
        <f t="shared" ca="1" si="0"/>
        <v/>
      </c>
    </row>
    <row r="75" spans="19:19">
      <c r="S75" t="str">
        <f t="shared" ca="1" si="0"/>
        <v/>
      </c>
    </row>
    <row r="76" spans="19:19">
      <c r="S76" t="str">
        <f t="shared" ca="1" si="0"/>
        <v/>
      </c>
    </row>
    <row r="77" spans="19:19">
      <c r="S77" t="str">
        <f t="shared" ca="1" si="0"/>
        <v/>
      </c>
    </row>
    <row r="78" spans="19:19">
      <c r="S78" t="str">
        <f t="shared" ca="1" si="0"/>
        <v/>
      </c>
    </row>
    <row r="79" spans="19:19">
      <c r="S79" t="str">
        <f t="shared" ca="1" si="0"/>
        <v/>
      </c>
    </row>
    <row r="80" spans="19:19">
      <c r="S80" t="str">
        <f t="shared" ca="1" si="0"/>
        <v/>
      </c>
    </row>
    <row r="81" spans="19:19">
      <c r="S81" t="str">
        <f t="shared" ca="1" si="0"/>
        <v/>
      </c>
    </row>
    <row r="82" spans="19:19">
      <c r="S82" t="str">
        <f t="shared" ca="1" si="0"/>
        <v/>
      </c>
    </row>
    <row r="83" spans="19:19">
      <c r="S83" t="str">
        <f t="shared" ca="1" si="0"/>
        <v/>
      </c>
    </row>
    <row r="84" spans="19:19">
      <c r="S84" t="str">
        <f t="shared" ca="1" si="0"/>
        <v/>
      </c>
    </row>
    <row r="85" spans="19:19">
      <c r="S85" t="str">
        <f t="shared" ca="1" si="0"/>
        <v/>
      </c>
    </row>
    <row r="86" spans="19:19">
      <c r="S86" t="str">
        <f t="shared" ca="1" si="0"/>
        <v/>
      </c>
    </row>
    <row r="87" spans="19:19">
      <c r="S87" t="str">
        <f t="shared" ca="1" si="0"/>
        <v/>
      </c>
    </row>
    <row r="88" spans="19:19">
      <c r="S88" t="str">
        <f t="shared" ca="1" si="0"/>
        <v/>
      </c>
    </row>
    <row r="89" spans="19:19">
      <c r="S89" t="str">
        <f t="shared" ref="S89:S120" ca="1" si="1"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 spans="19:19">
      <c r="S90" t="str">
        <f t="shared" ca="1" si="1"/>
        <v/>
      </c>
    </row>
    <row r="91" spans="19:19">
      <c r="S91" t="str">
        <f t="shared" ca="1" si="1"/>
        <v/>
      </c>
    </row>
    <row r="92" spans="19:19">
      <c r="S92" t="str">
        <f t="shared" ca="1" si="1"/>
        <v/>
      </c>
    </row>
    <row r="93" spans="19:19">
      <c r="S93" t="str">
        <f t="shared" ca="1" si="1"/>
        <v/>
      </c>
    </row>
    <row r="94" spans="19:19">
      <c r="S94" t="str">
        <f t="shared" ca="1" si="1"/>
        <v/>
      </c>
    </row>
    <row r="95" spans="19:19">
      <c r="S95" t="str">
        <f t="shared" ca="1" si="1"/>
        <v/>
      </c>
    </row>
    <row r="96" spans="19:19">
      <c r="S96" t="str">
        <f t="shared" ca="1" si="1"/>
        <v/>
      </c>
    </row>
    <row r="97" spans="19:19">
      <c r="S97" t="str">
        <f t="shared" ca="1" si="1"/>
        <v/>
      </c>
    </row>
    <row r="98" spans="19:19">
      <c r="S98" t="str">
        <f t="shared" ca="1" si="1"/>
        <v/>
      </c>
    </row>
    <row r="99" spans="19:19">
      <c r="S99" t="str">
        <f t="shared" ca="1" si="1"/>
        <v/>
      </c>
    </row>
    <row r="100" spans="19:19">
      <c r="S100" t="str">
        <f t="shared" ca="1" si="1"/>
        <v/>
      </c>
    </row>
    <row r="101" spans="19:19">
      <c r="S101" t="str">
        <f t="shared" ca="1" si="1"/>
        <v/>
      </c>
    </row>
    <row r="102" spans="19:19">
      <c r="S102" t="str">
        <f t="shared" ca="1" si="1"/>
        <v/>
      </c>
    </row>
    <row r="103" spans="19:19">
      <c r="S103" t="str">
        <f t="shared" ca="1" si="1"/>
        <v/>
      </c>
    </row>
    <row r="104" spans="19:19">
      <c r="S104" t="str">
        <f t="shared" ca="1" si="1"/>
        <v/>
      </c>
    </row>
    <row r="105" spans="19:19">
      <c r="S105" t="str">
        <f t="shared" ca="1" si="1"/>
        <v/>
      </c>
    </row>
    <row r="106" spans="19:19">
      <c r="S106" t="str">
        <f t="shared" ca="1" si="1"/>
        <v/>
      </c>
    </row>
    <row r="107" spans="19:19">
      <c r="S107" t="str">
        <f t="shared" ca="1" si="1"/>
        <v/>
      </c>
    </row>
    <row r="108" spans="19:19">
      <c r="S108" t="str">
        <f t="shared" ca="1" si="1"/>
        <v/>
      </c>
    </row>
    <row r="109" spans="19:19">
      <c r="S109" t="str">
        <f t="shared" ca="1" si="1"/>
        <v/>
      </c>
    </row>
    <row r="110" spans="19:19">
      <c r="S110" t="str">
        <f t="shared" ca="1" si="1"/>
        <v/>
      </c>
    </row>
    <row r="111" spans="19:19">
      <c r="S111" t="str">
        <f t="shared" ca="1" si="1"/>
        <v/>
      </c>
    </row>
    <row r="112" spans="19:19">
      <c r="S112" t="str">
        <f t="shared" ca="1" si="1"/>
        <v/>
      </c>
    </row>
    <row r="113" spans="19:19">
      <c r="S113" t="str">
        <f t="shared" ca="1" si="1"/>
        <v/>
      </c>
    </row>
    <row r="114" spans="19:19">
      <c r="S114" t="str">
        <f t="shared" ca="1" si="1"/>
        <v/>
      </c>
    </row>
    <row r="115" spans="19:19">
      <c r="S115" t="str">
        <f t="shared" ca="1" si="1"/>
        <v/>
      </c>
    </row>
    <row r="116" spans="19:19">
      <c r="S116" t="str">
        <f t="shared" ca="1" si="1"/>
        <v/>
      </c>
    </row>
    <row r="117" spans="19:19">
      <c r="S117" t="str">
        <f t="shared" ca="1" si="1"/>
        <v/>
      </c>
    </row>
    <row r="118" spans="19:19">
      <c r="S118" t="str">
        <f t="shared" ca="1" si="1"/>
        <v/>
      </c>
    </row>
    <row r="119" spans="19:19">
      <c r="S119" t="str">
        <f t="shared" ca="1" si="1"/>
        <v/>
      </c>
    </row>
    <row r="120" spans="19:19">
      <c r="S120" t="str">
        <f t="shared" ca="1" si="1"/>
        <v/>
      </c>
    </row>
    <row r="121" spans="19:19">
      <c r="S121" t="str">
        <f t="shared" ref="S121:S152" ca="1" si="2"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 spans="19:19">
      <c r="S122" t="str">
        <f t="shared" ca="1" si="2"/>
        <v/>
      </c>
    </row>
    <row r="123" spans="19:19">
      <c r="S123" t="str">
        <f t="shared" ca="1" si="2"/>
        <v/>
      </c>
    </row>
    <row r="124" spans="19:19">
      <c r="S124" t="str">
        <f t="shared" ca="1" si="2"/>
        <v/>
      </c>
    </row>
    <row r="125" spans="19:19">
      <c r="S125" t="str">
        <f t="shared" ca="1" si="2"/>
        <v/>
      </c>
    </row>
    <row r="126" spans="19:19">
      <c r="S126" t="str">
        <f t="shared" ca="1" si="2"/>
        <v/>
      </c>
    </row>
    <row r="127" spans="19:19">
      <c r="S127" t="str">
        <f t="shared" ca="1" si="2"/>
        <v/>
      </c>
    </row>
    <row r="128" spans="19:19">
      <c r="S128" t="str">
        <f t="shared" ca="1" si="2"/>
        <v/>
      </c>
    </row>
    <row r="129" spans="19:19">
      <c r="S129" t="str">
        <f t="shared" ca="1" si="2"/>
        <v/>
      </c>
    </row>
    <row r="130" spans="19:19">
      <c r="S130" t="str">
        <f t="shared" ca="1" si="2"/>
        <v/>
      </c>
    </row>
    <row r="131" spans="19:19">
      <c r="S131" t="str">
        <f t="shared" ca="1" si="2"/>
        <v/>
      </c>
    </row>
    <row r="132" spans="19:19">
      <c r="S132" t="str">
        <f t="shared" ca="1" si="2"/>
        <v/>
      </c>
    </row>
    <row r="133" spans="19:19">
      <c r="S133" t="str">
        <f t="shared" ca="1" si="2"/>
        <v/>
      </c>
    </row>
    <row r="134" spans="19:19">
      <c r="S134" t="str">
        <f t="shared" ca="1" si="2"/>
        <v/>
      </c>
    </row>
    <row r="135" spans="19:19">
      <c r="S135" t="str">
        <f t="shared" ca="1" si="2"/>
        <v/>
      </c>
    </row>
    <row r="136" spans="19:19">
      <c r="S136" t="str">
        <f t="shared" ca="1" si="2"/>
        <v/>
      </c>
    </row>
    <row r="137" spans="19:19">
      <c r="S137" t="str">
        <f t="shared" ca="1" si="2"/>
        <v/>
      </c>
    </row>
    <row r="138" spans="19:19">
      <c r="S138" t="str">
        <f t="shared" ca="1" si="2"/>
        <v/>
      </c>
    </row>
    <row r="139" spans="19:19">
      <c r="S139" t="str">
        <f t="shared" ca="1" si="2"/>
        <v/>
      </c>
    </row>
    <row r="140" spans="19:19">
      <c r="S140" t="str">
        <f t="shared" ca="1" si="2"/>
        <v/>
      </c>
    </row>
    <row r="141" spans="19:19">
      <c r="S141" t="str">
        <f t="shared" ca="1" si="2"/>
        <v/>
      </c>
    </row>
    <row r="142" spans="19:19">
      <c r="S142" t="str">
        <f t="shared" ca="1" si="2"/>
        <v/>
      </c>
    </row>
    <row r="143" spans="19:19">
      <c r="S143" t="str">
        <f t="shared" ca="1" si="2"/>
        <v/>
      </c>
    </row>
    <row r="144" spans="19:19">
      <c r="S144" t="str">
        <f t="shared" ca="1" si="2"/>
        <v/>
      </c>
    </row>
    <row r="145" spans="19:19">
      <c r="S145" t="str">
        <f t="shared" ca="1" si="2"/>
        <v/>
      </c>
    </row>
    <row r="146" spans="19:19">
      <c r="S146" t="str">
        <f t="shared" ca="1" si="2"/>
        <v/>
      </c>
    </row>
    <row r="147" spans="19:19">
      <c r="S147" t="str">
        <f t="shared" ca="1" si="2"/>
        <v/>
      </c>
    </row>
    <row r="148" spans="19:19">
      <c r="S148" t="str">
        <f t="shared" ca="1" si="2"/>
        <v/>
      </c>
    </row>
    <row r="149" spans="19:19">
      <c r="S149" t="str">
        <f t="shared" ca="1" si="2"/>
        <v/>
      </c>
    </row>
    <row r="150" spans="19:19">
      <c r="S150" t="str">
        <f t="shared" ca="1" si="2"/>
        <v/>
      </c>
    </row>
    <row r="151" spans="19:19">
      <c r="S151" t="str">
        <f t="shared" ca="1" si="2"/>
        <v/>
      </c>
    </row>
    <row r="152" spans="19:19">
      <c r="S152" t="str">
        <f t="shared" ca="1" si="2"/>
        <v/>
      </c>
    </row>
    <row r="153" spans="19:19">
      <c r="S153" t="str">
        <f t="shared" ref="S153:S184" ca="1" si="3"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 spans="19:19">
      <c r="S154" t="str">
        <f t="shared" ca="1" si="3"/>
        <v/>
      </c>
    </row>
    <row r="155" spans="19:19">
      <c r="S155" t="str">
        <f t="shared" ca="1" si="3"/>
        <v/>
      </c>
    </row>
    <row r="156" spans="19:19">
      <c r="S156" t="str">
        <f t="shared" ca="1" si="3"/>
        <v/>
      </c>
    </row>
    <row r="157" spans="19:19">
      <c r="S157" t="str">
        <f t="shared" ca="1" si="3"/>
        <v/>
      </c>
    </row>
    <row r="158" spans="19:19">
      <c r="S158" t="str">
        <f t="shared" ca="1" si="3"/>
        <v/>
      </c>
    </row>
    <row r="159" spans="19:19">
      <c r="S159" t="str">
        <f t="shared" ca="1" si="3"/>
        <v/>
      </c>
    </row>
    <row r="160" spans="19:19">
      <c r="S160" t="str">
        <f t="shared" ca="1" si="3"/>
        <v/>
      </c>
    </row>
    <row r="161" spans="19:19">
      <c r="S161" t="str">
        <f t="shared" ca="1" si="3"/>
        <v/>
      </c>
    </row>
    <row r="162" spans="19:19">
      <c r="S162" t="str">
        <f t="shared" ca="1" si="3"/>
        <v/>
      </c>
    </row>
    <row r="163" spans="19:19">
      <c r="S163" t="str">
        <f t="shared" ca="1" si="3"/>
        <v/>
      </c>
    </row>
    <row r="164" spans="19:19">
      <c r="S164" t="str">
        <f t="shared" ca="1" si="3"/>
        <v/>
      </c>
    </row>
    <row r="165" spans="19:19">
      <c r="S165" t="str">
        <f t="shared" ca="1" si="3"/>
        <v/>
      </c>
    </row>
    <row r="166" spans="19:19">
      <c r="S166" t="str">
        <f t="shared" ca="1" si="3"/>
        <v/>
      </c>
    </row>
    <row r="167" spans="19:19">
      <c r="S167" t="str">
        <f t="shared" ca="1" si="3"/>
        <v/>
      </c>
    </row>
    <row r="168" spans="19:19">
      <c r="S168" t="str">
        <f t="shared" ca="1" si="3"/>
        <v/>
      </c>
    </row>
    <row r="169" spans="19:19">
      <c r="S169" t="str">
        <f t="shared" ca="1" si="3"/>
        <v/>
      </c>
    </row>
    <row r="170" spans="19:19">
      <c r="S170" t="str">
        <f t="shared" ca="1" si="3"/>
        <v/>
      </c>
    </row>
    <row r="171" spans="19:19">
      <c r="S171" t="str">
        <f t="shared" ca="1" si="3"/>
        <v/>
      </c>
    </row>
    <row r="172" spans="19:19">
      <c r="S172" t="str">
        <f t="shared" ca="1" si="3"/>
        <v/>
      </c>
    </row>
    <row r="173" spans="19:19">
      <c r="S173" t="str">
        <f t="shared" ca="1" si="3"/>
        <v/>
      </c>
    </row>
    <row r="174" spans="19:19">
      <c r="S174" t="str">
        <f t="shared" ca="1" si="3"/>
        <v/>
      </c>
    </row>
    <row r="175" spans="19:19">
      <c r="S175" t="str">
        <f t="shared" ca="1" si="3"/>
        <v/>
      </c>
    </row>
    <row r="176" spans="19:19">
      <c r="S176" t="str">
        <f t="shared" ca="1" si="3"/>
        <v/>
      </c>
    </row>
    <row r="177" spans="19:19">
      <c r="S177" t="str">
        <f t="shared" ca="1" si="3"/>
        <v/>
      </c>
    </row>
    <row r="178" spans="19:19">
      <c r="S178" t="str">
        <f t="shared" ca="1" si="3"/>
        <v/>
      </c>
    </row>
    <row r="179" spans="19:19">
      <c r="S179" t="str">
        <f t="shared" ca="1" si="3"/>
        <v/>
      </c>
    </row>
    <row r="180" spans="19:19">
      <c r="S180" t="str">
        <f t="shared" ca="1" si="3"/>
        <v/>
      </c>
    </row>
    <row r="181" spans="19:19">
      <c r="S181" t="str">
        <f t="shared" ca="1" si="3"/>
        <v/>
      </c>
    </row>
    <row r="182" spans="19:19">
      <c r="S182" t="str">
        <f t="shared" ca="1" si="3"/>
        <v/>
      </c>
    </row>
    <row r="183" spans="19:19">
      <c r="S183" t="str">
        <f t="shared" ca="1" si="3"/>
        <v/>
      </c>
    </row>
    <row r="184" spans="19:19">
      <c r="S184" t="str">
        <f t="shared" ca="1" si="3"/>
        <v/>
      </c>
    </row>
    <row r="185" spans="19:19">
      <c r="S185" t="str">
        <f t="shared" ref="S185:S209" ca="1" si="4"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 spans="19:19">
      <c r="S186" t="str">
        <f t="shared" ca="1" si="4"/>
        <v/>
      </c>
    </row>
    <row r="187" spans="19:19">
      <c r="S187" t="str">
        <f t="shared" ca="1" si="4"/>
        <v/>
      </c>
    </row>
    <row r="188" spans="19:19">
      <c r="S188" t="str">
        <f t="shared" ca="1" si="4"/>
        <v/>
      </c>
    </row>
    <row r="189" spans="19:19">
      <c r="S189" t="str">
        <f t="shared" ca="1" si="4"/>
        <v/>
      </c>
    </row>
    <row r="190" spans="19:19">
      <c r="S190" t="str">
        <f t="shared" ca="1" si="4"/>
        <v/>
      </c>
    </row>
    <row r="191" spans="19:19">
      <c r="S191" t="str">
        <f t="shared" ca="1" si="4"/>
        <v/>
      </c>
    </row>
    <row r="192" spans="19:19">
      <c r="S192" t="str">
        <f t="shared" ca="1" si="4"/>
        <v/>
      </c>
    </row>
    <row r="193" spans="19:19">
      <c r="S193" t="str">
        <f t="shared" ca="1" si="4"/>
        <v/>
      </c>
    </row>
    <row r="194" spans="19:19">
      <c r="S194" t="str">
        <f t="shared" ca="1" si="4"/>
        <v/>
      </c>
    </row>
    <row r="195" spans="19:19">
      <c r="S195" t="str">
        <f t="shared" ca="1" si="4"/>
        <v/>
      </c>
    </row>
    <row r="196" spans="19:19">
      <c r="S196" t="str">
        <f t="shared" ca="1" si="4"/>
        <v/>
      </c>
    </row>
    <row r="197" spans="19:19">
      <c r="S197" t="str">
        <f t="shared" ca="1" si="4"/>
        <v/>
      </c>
    </row>
    <row r="198" spans="19:19">
      <c r="S198" t="str">
        <f t="shared" ca="1" si="4"/>
        <v/>
      </c>
    </row>
    <row r="199" spans="19:19">
      <c r="S199" t="str">
        <f t="shared" ca="1" si="4"/>
        <v/>
      </c>
    </row>
    <row r="200" spans="19:19">
      <c r="S200" t="str">
        <f t="shared" ca="1" si="4"/>
        <v/>
      </c>
    </row>
    <row r="201" spans="19:19">
      <c r="S201" t="str">
        <f t="shared" ca="1" si="4"/>
        <v/>
      </c>
    </row>
    <row r="202" spans="19:19">
      <c r="S202" t="str">
        <f t="shared" ca="1" si="4"/>
        <v/>
      </c>
    </row>
    <row r="203" spans="19:19">
      <c r="S203" t="str">
        <f t="shared" ca="1" si="4"/>
        <v/>
      </c>
    </row>
    <row r="204" spans="19:19">
      <c r="S204" t="str">
        <f t="shared" ca="1" si="4"/>
        <v/>
      </c>
    </row>
    <row r="205" spans="19:19">
      <c r="S205" t="str">
        <f t="shared" ca="1" si="4"/>
        <v/>
      </c>
    </row>
    <row r="206" spans="19:19">
      <c r="S206" t="str">
        <f t="shared" ca="1" si="4"/>
        <v/>
      </c>
    </row>
    <row r="207" spans="19:19">
      <c r="S207" t="str">
        <f t="shared" ca="1" si="4"/>
        <v/>
      </c>
    </row>
    <row r="208" spans="19:19">
      <c r="S208" t="str">
        <f t="shared" ca="1" si="4"/>
        <v/>
      </c>
    </row>
    <row r="209" spans="19:19">
      <c r="S209" t="str">
        <f t="shared" ca="1" si="4"/>
        <v/>
      </c>
    </row>
  </sheetData>
  <conditionalFormatting sqref="S10:S209">
    <cfRule type="cellIs" dxfId="9" priority="1" operator="equal">
      <formula>"✗"</formula>
    </cfRule>
    <cfRule type="cellIs" dxfId="8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workbookViewId="0">
      <pane xSplit="3" ySplit="9" topLeftCell="M18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132</v>
      </c>
    </row>
    <row r="2" spans="1:20">
      <c r="A2" s="2" t="s">
        <v>45</v>
      </c>
      <c r="B2" s="3"/>
    </row>
    <row r="3" spans="1:20">
      <c r="A3" s="2" t="s">
        <v>46</v>
      </c>
      <c r="B3" s="3" t="s">
        <v>71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1000</v>
      </c>
      <c r="C5" t="s">
        <v>52</v>
      </c>
    </row>
    <row r="7" spans="1:20" ht="57" customHeight="1">
      <c r="A7" s="4" t="s">
        <v>53</v>
      </c>
      <c r="B7" s="4" t="s">
        <v>54</v>
      </c>
      <c r="C7" s="4" t="s">
        <v>55</v>
      </c>
      <c r="D7" s="8" t="s">
        <v>133</v>
      </c>
      <c r="E7" s="8" t="s">
        <v>134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59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64</v>
      </c>
      <c r="B10" s="7" t="s">
        <v>135</v>
      </c>
      <c r="C10" t="s">
        <v>136</v>
      </c>
      <c r="D10">
        <v>1604442</v>
      </c>
      <c r="E10">
        <v>1592719</v>
      </c>
    </row>
    <row r="11" spans="1:20" ht="21" customHeight="1">
      <c r="A11" t="s">
        <v>64</v>
      </c>
      <c r="B11" s="7" t="s">
        <v>137</v>
      </c>
      <c r="C11" t="s">
        <v>138</v>
      </c>
      <c r="D11">
        <v>-1055330</v>
      </c>
      <c r="E11">
        <v>-1183874</v>
      </c>
    </row>
    <row r="12" spans="1:20" ht="21" customHeight="1">
      <c r="A12" t="s">
        <v>64</v>
      </c>
      <c r="B12" s="7" t="s">
        <v>139</v>
      </c>
      <c r="C12" t="s">
        <v>140</v>
      </c>
      <c r="D12">
        <v>786082</v>
      </c>
      <c r="E12">
        <v>983333</v>
      </c>
    </row>
    <row r="13" spans="1:20" ht="38" customHeight="1">
      <c r="A13" t="s">
        <v>64</v>
      </c>
      <c r="B13" s="7" t="s">
        <v>141</v>
      </c>
      <c r="C13" t="s">
        <v>142</v>
      </c>
      <c r="D13" t="s">
        <v>83</v>
      </c>
      <c r="E13">
        <v>127320</v>
      </c>
    </row>
    <row r="14" spans="1:20">
      <c r="A14" t="s">
        <v>74</v>
      </c>
      <c r="B14" s="7"/>
      <c r="D14">
        <v>1335194</v>
      </c>
      <c r="E14">
        <v>1519498</v>
      </c>
    </row>
    <row r="15" spans="1:20" ht="21" customHeight="1">
      <c r="A15" t="s">
        <v>64</v>
      </c>
      <c r="B15" s="7" t="s">
        <v>143</v>
      </c>
      <c r="C15" t="s">
        <v>144</v>
      </c>
      <c r="D15">
        <v>-497600</v>
      </c>
      <c r="E15">
        <v>-522232</v>
      </c>
    </row>
    <row r="16" spans="1:20" ht="21" customHeight="1">
      <c r="A16" t="s">
        <v>64</v>
      </c>
      <c r="B16" s="7" t="s">
        <v>145</v>
      </c>
      <c r="C16" t="s">
        <v>47</v>
      </c>
      <c r="D16">
        <v>-1174</v>
      </c>
      <c r="E16">
        <v>5153</v>
      </c>
    </row>
    <row r="17" spans="1:5" ht="38" customHeight="1">
      <c r="A17" t="s">
        <v>64</v>
      </c>
      <c r="B17" s="7" t="s">
        <v>146</v>
      </c>
      <c r="C17" t="s">
        <v>81</v>
      </c>
      <c r="D17">
        <v>1209032</v>
      </c>
      <c r="E17">
        <v>1032833</v>
      </c>
    </row>
    <row r="18" spans="1:5" ht="38" customHeight="1">
      <c r="A18" t="s">
        <v>64</v>
      </c>
      <c r="B18" s="7" t="s">
        <v>147</v>
      </c>
      <c r="C18" t="s">
        <v>81</v>
      </c>
      <c r="D18">
        <v>200000</v>
      </c>
      <c r="E18" t="s">
        <v>83</v>
      </c>
    </row>
    <row r="19" spans="1:5" ht="38" customHeight="1">
      <c r="A19" t="s">
        <v>64</v>
      </c>
      <c r="B19" s="7" t="s">
        <v>148</v>
      </c>
      <c r="C19" t="s">
        <v>85</v>
      </c>
      <c r="D19">
        <v>123457</v>
      </c>
      <c r="E19" t="s">
        <v>83</v>
      </c>
    </row>
    <row r="20" spans="1:5" ht="21" customHeight="1">
      <c r="A20" t="s">
        <v>64</v>
      </c>
      <c r="B20" s="7" t="s">
        <v>149</v>
      </c>
      <c r="C20" t="s">
        <v>150</v>
      </c>
      <c r="D20">
        <v>19994</v>
      </c>
      <c r="E20">
        <v>463256</v>
      </c>
    </row>
    <row r="21" spans="1:5" ht="21" customHeight="1">
      <c r="A21" t="s">
        <v>74</v>
      </c>
      <c r="B21" s="7" t="s">
        <v>151</v>
      </c>
      <c r="D21">
        <v>2388903</v>
      </c>
      <c r="E21">
        <v>2498508</v>
      </c>
    </row>
    <row r="22" spans="1:5" ht="21" customHeight="1">
      <c r="A22" t="s">
        <v>64</v>
      </c>
      <c r="B22" s="7" t="s">
        <v>152</v>
      </c>
      <c r="C22" t="s">
        <v>85</v>
      </c>
      <c r="D22">
        <v>46872</v>
      </c>
      <c r="E22">
        <v>87204</v>
      </c>
    </row>
    <row r="23" spans="1:5" ht="21" customHeight="1">
      <c r="A23" t="s">
        <v>64</v>
      </c>
      <c r="B23" s="7" t="s">
        <v>153</v>
      </c>
      <c r="C23" t="s">
        <v>154</v>
      </c>
      <c r="D23">
        <v>-984515</v>
      </c>
      <c r="E23">
        <v>-1289637</v>
      </c>
    </row>
    <row r="24" spans="1:5" ht="21" customHeight="1">
      <c r="A24" t="s">
        <v>74</v>
      </c>
      <c r="B24" s="7" t="s">
        <v>155</v>
      </c>
      <c r="D24">
        <v>1451260</v>
      </c>
      <c r="E24">
        <v>1296075</v>
      </c>
    </row>
    <row r="25" spans="1:5" ht="21" customHeight="1">
      <c r="A25" t="s">
        <v>64</v>
      </c>
      <c r="B25" s="7" t="s">
        <v>156</v>
      </c>
      <c r="C25" t="s">
        <v>106</v>
      </c>
      <c r="D25">
        <v>-93235</v>
      </c>
      <c r="E25">
        <v>-140977</v>
      </c>
    </row>
    <row r="26" spans="1:5" ht="21" customHeight="1">
      <c r="A26" t="s">
        <v>64</v>
      </c>
      <c r="B26" s="7" t="s">
        <v>157</v>
      </c>
      <c r="C26" t="s">
        <v>106</v>
      </c>
      <c r="D26">
        <v>-150859</v>
      </c>
      <c r="E26">
        <v>-166855</v>
      </c>
    </row>
    <row r="27" spans="1:5" ht="21" customHeight="1">
      <c r="A27" t="s">
        <v>95</v>
      </c>
      <c r="B27" s="7" t="s">
        <v>158</v>
      </c>
      <c r="D27">
        <v>1207166</v>
      </c>
      <c r="E27">
        <v>988243</v>
      </c>
    </row>
    <row r="28" spans="1:5" ht="21" customHeight="1">
      <c r="A28" t="s">
        <v>61</v>
      </c>
      <c r="B28" s="7" t="s">
        <v>159</v>
      </c>
    </row>
    <row r="29" spans="1:5" ht="21" customHeight="1">
      <c r="A29" t="s">
        <v>64</v>
      </c>
      <c r="B29" s="7" t="s">
        <v>160</v>
      </c>
      <c r="D29">
        <v>1236970</v>
      </c>
      <c r="E29">
        <v>1013243</v>
      </c>
    </row>
    <row r="30" spans="1:5" ht="21" customHeight="1">
      <c r="A30" t="s">
        <v>64</v>
      </c>
      <c r="B30" s="7" t="s">
        <v>161</v>
      </c>
      <c r="D30">
        <v>-29804</v>
      </c>
      <c r="E30">
        <v>-25000</v>
      </c>
    </row>
    <row r="31" spans="1:5">
      <c r="A31" t="s">
        <v>95</v>
      </c>
      <c r="B31" s="7"/>
      <c r="D31">
        <v>1207166</v>
      </c>
      <c r="E31">
        <v>988243</v>
      </c>
    </row>
    <row r="32" spans="1:5" ht="21" customHeight="1">
      <c r="A32" t="s">
        <v>64</v>
      </c>
      <c r="B32" s="7" t="s">
        <v>162</v>
      </c>
      <c r="C32" t="s">
        <v>163</v>
      </c>
      <c r="D32">
        <v>0.33</v>
      </c>
      <c r="E32">
        <v>0.27</v>
      </c>
    </row>
    <row r="33" spans="19:19">
      <c r="S33" t="str">
        <f t="shared" ref="S33:S64" ca="1" si="0"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ca="1" si="0"/>
        <v/>
      </c>
    </row>
    <row r="58" spans="19:19">
      <c r="S58" t="str">
        <f t="shared" ca="1" si="0"/>
        <v/>
      </c>
    </row>
    <row r="59" spans="19:19">
      <c r="S59" t="str">
        <f t="shared" ca="1" si="0"/>
        <v/>
      </c>
    </row>
    <row r="60" spans="19:19">
      <c r="S60" t="str">
        <f t="shared" ca="1" si="0"/>
        <v/>
      </c>
    </row>
    <row r="61" spans="19:19">
      <c r="S61" t="str">
        <f t="shared" ca="1" si="0"/>
        <v/>
      </c>
    </row>
    <row r="62" spans="19:19">
      <c r="S62" t="str">
        <f t="shared" ca="1" si="0"/>
        <v/>
      </c>
    </row>
    <row r="63" spans="19:19">
      <c r="S63" t="str">
        <f t="shared" ca="1" si="0"/>
        <v/>
      </c>
    </row>
    <row r="64" spans="19:19">
      <c r="S64" t="str">
        <f t="shared" ca="1" si="0"/>
        <v/>
      </c>
    </row>
    <row r="65" spans="19:19">
      <c r="S65" t="str">
        <f t="shared" ref="S65:S96" ca="1" si="1"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ca="1" si="1"/>
        <v/>
      </c>
    </row>
    <row r="90" spans="19:19">
      <c r="S90" t="str">
        <f t="shared" ca="1" si="1"/>
        <v/>
      </c>
    </row>
    <row r="91" spans="19:19">
      <c r="S91" t="str">
        <f t="shared" ca="1" si="1"/>
        <v/>
      </c>
    </row>
    <row r="92" spans="19:19">
      <c r="S92" t="str">
        <f t="shared" ca="1" si="1"/>
        <v/>
      </c>
    </row>
    <row r="93" spans="19:19">
      <c r="S93" t="str">
        <f t="shared" ca="1" si="1"/>
        <v/>
      </c>
    </row>
    <row r="94" spans="19:19">
      <c r="S94" t="str">
        <f t="shared" ca="1" si="1"/>
        <v/>
      </c>
    </row>
    <row r="95" spans="19:19">
      <c r="S95" t="str">
        <f t="shared" ca="1" si="1"/>
        <v/>
      </c>
    </row>
    <row r="96" spans="19:19">
      <c r="S96" t="str">
        <f t="shared" ca="1" si="1"/>
        <v/>
      </c>
    </row>
    <row r="97" spans="19:19">
      <c r="S97" t="str">
        <f t="shared" ref="S97:S128" ca="1" si="2"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ca="1" si="2"/>
        <v/>
      </c>
    </row>
    <row r="122" spans="19:19">
      <c r="S122" t="str">
        <f t="shared" ca="1" si="2"/>
        <v/>
      </c>
    </row>
    <row r="123" spans="19:19">
      <c r="S123" t="str">
        <f t="shared" ca="1" si="2"/>
        <v/>
      </c>
    </row>
    <row r="124" spans="19:19">
      <c r="S124" t="str">
        <f t="shared" ca="1" si="2"/>
        <v/>
      </c>
    </row>
    <row r="125" spans="19:19">
      <c r="S125" t="str">
        <f t="shared" ca="1" si="2"/>
        <v/>
      </c>
    </row>
    <row r="126" spans="19:19">
      <c r="S126" t="str">
        <f t="shared" ca="1" si="2"/>
        <v/>
      </c>
    </row>
    <row r="127" spans="19:19">
      <c r="S127" t="str">
        <f t="shared" ca="1" si="2"/>
        <v/>
      </c>
    </row>
    <row r="128" spans="19:19">
      <c r="S128" t="str">
        <f t="shared" ca="1" si="2"/>
        <v/>
      </c>
    </row>
    <row r="129" spans="19:19">
      <c r="S129" t="str">
        <f t="shared" ref="S129:S160" ca="1" si="3"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ca="1" si="3"/>
        <v/>
      </c>
    </row>
    <row r="154" spans="19:19">
      <c r="S154" t="str">
        <f t="shared" ca="1" si="3"/>
        <v/>
      </c>
    </row>
    <row r="155" spans="19:19">
      <c r="S155" t="str">
        <f t="shared" ca="1" si="3"/>
        <v/>
      </c>
    </row>
    <row r="156" spans="19:19">
      <c r="S156" t="str">
        <f t="shared" ca="1" si="3"/>
        <v/>
      </c>
    </row>
    <row r="157" spans="19:19">
      <c r="S157" t="str">
        <f t="shared" ca="1" si="3"/>
        <v/>
      </c>
    </row>
    <row r="158" spans="19:19">
      <c r="S158" t="str">
        <f t="shared" ca="1" si="3"/>
        <v/>
      </c>
    </row>
    <row r="159" spans="19:19">
      <c r="S159" t="str">
        <f t="shared" ca="1" si="3"/>
        <v/>
      </c>
    </row>
    <row r="160" spans="19:19">
      <c r="S160" t="str">
        <f t="shared" ca="1" si="3"/>
        <v/>
      </c>
    </row>
    <row r="161" spans="19:19">
      <c r="S161" t="str">
        <f t="shared" ref="S161:S192" ca="1" si="4"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ca="1" si="4"/>
        <v/>
      </c>
    </row>
    <row r="186" spans="19:19">
      <c r="S186" t="str">
        <f t="shared" ca="1" si="4"/>
        <v/>
      </c>
    </row>
    <row r="187" spans="19:19">
      <c r="S187" t="str">
        <f t="shared" ca="1" si="4"/>
        <v/>
      </c>
    </row>
    <row r="188" spans="19:19">
      <c r="S188" t="str">
        <f t="shared" ca="1" si="4"/>
        <v/>
      </c>
    </row>
    <row r="189" spans="19:19">
      <c r="S189" t="str">
        <f t="shared" ca="1" si="4"/>
        <v/>
      </c>
    </row>
    <row r="190" spans="19:19">
      <c r="S190" t="str">
        <f t="shared" ca="1" si="4"/>
        <v/>
      </c>
    </row>
    <row r="191" spans="19:19">
      <c r="S191" t="str">
        <f t="shared" ca="1" si="4"/>
        <v/>
      </c>
    </row>
    <row r="192" spans="19:19">
      <c r="S192" t="str">
        <f t="shared" ca="1" si="4"/>
        <v/>
      </c>
    </row>
    <row r="193" spans="19:19">
      <c r="S193" t="str">
        <f t="shared" ref="S193:S209" ca="1" si="5"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L13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164</v>
      </c>
    </row>
    <row r="2" spans="1:20">
      <c r="A2" s="2" t="s">
        <v>45</v>
      </c>
      <c r="B2" s="3"/>
    </row>
    <row r="3" spans="1:20">
      <c r="A3" s="2" t="s">
        <v>46</v>
      </c>
      <c r="B3" s="3" t="s">
        <v>73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1000</v>
      </c>
      <c r="C5" t="s">
        <v>52</v>
      </c>
    </row>
    <row r="7" spans="1:20" ht="57" customHeight="1">
      <c r="A7" s="4" t="s">
        <v>53</v>
      </c>
      <c r="B7" s="4" t="s">
        <v>54</v>
      </c>
      <c r="C7" s="4" t="s">
        <v>55</v>
      </c>
      <c r="D7" s="8" t="s">
        <v>133</v>
      </c>
      <c r="E7" s="8" t="s">
        <v>134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59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64</v>
      </c>
      <c r="B10" s="7" t="s">
        <v>165</v>
      </c>
      <c r="D10">
        <v>1207166</v>
      </c>
      <c r="E10">
        <v>988243</v>
      </c>
    </row>
    <row r="11" spans="1:20" ht="21" customHeight="1">
      <c r="A11" t="s">
        <v>61</v>
      </c>
      <c r="B11" s="7" t="s">
        <v>166</v>
      </c>
    </row>
    <row r="12" spans="1:20" ht="21" customHeight="1">
      <c r="A12" t="s">
        <v>61</v>
      </c>
      <c r="B12" s="7" t="s">
        <v>167</v>
      </c>
    </row>
    <row r="13" spans="1:20" ht="38" customHeight="1">
      <c r="A13" t="s">
        <v>64</v>
      </c>
      <c r="B13" s="7" t="s">
        <v>168</v>
      </c>
      <c r="C13" t="s">
        <v>79</v>
      </c>
      <c r="D13">
        <v>3223200</v>
      </c>
      <c r="E13">
        <v>4019176</v>
      </c>
    </row>
    <row r="14" spans="1:20" ht="38" customHeight="1">
      <c r="A14" t="s">
        <v>64</v>
      </c>
      <c r="B14" s="7" t="s">
        <v>169</v>
      </c>
      <c r="C14" t="s">
        <v>115</v>
      </c>
      <c r="D14">
        <v>2752</v>
      </c>
      <c r="E14">
        <v>6397</v>
      </c>
    </row>
    <row r="15" spans="1:20" ht="21" customHeight="1">
      <c r="A15" t="s">
        <v>61</v>
      </c>
      <c r="B15" s="7" t="s">
        <v>170</v>
      </c>
    </row>
    <row r="16" spans="1:20" ht="38" customHeight="1">
      <c r="A16" t="s">
        <v>64</v>
      </c>
      <c r="B16" s="7" t="s">
        <v>171</v>
      </c>
      <c r="C16" t="s">
        <v>81</v>
      </c>
      <c r="D16">
        <v>37993</v>
      </c>
      <c r="E16">
        <v>107207</v>
      </c>
    </row>
    <row r="17" spans="1:19" ht="38" customHeight="1">
      <c r="A17" t="s">
        <v>64</v>
      </c>
      <c r="B17" s="7" t="s">
        <v>172</v>
      </c>
      <c r="C17" t="s">
        <v>102</v>
      </c>
      <c r="D17">
        <v>1554</v>
      </c>
      <c r="E17" t="s">
        <v>83</v>
      </c>
    </row>
    <row r="18" spans="1:19" ht="21" customHeight="1">
      <c r="A18" t="s">
        <v>64</v>
      </c>
      <c r="B18" s="7" t="s">
        <v>173</v>
      </c>
      <c r="D18">
        <v>8510</v>
      </c>
      <c r="E18">
        <v>321873</v>
      </c>
    </row>
    <row r="19" spans="1:19" ht="21" customHeight="1">
      <c r="A19" t="s">
        <v>74</v>
      </c>
      <c r="B19" s="7" t="s">
        <v>174</v>
      </c>
      <c r="D19">
        <v>3274009</v>
      </c>
      <c r="E19">
        <v>4454653</v>
      </c>
    </row>
    <row r="20" spans="1:19" ht="21" customHeight="1">
      <c r="A20" t="s">
        <v>95</v>
      </c>
      <c r="B20" s="7" t="s">
        <v>175</v>
      </c>
      <c r="D20">
        <v>4481175</v>
      </c>
      <c r="E20">
        <v>5442896</v>
      </c>
    </row>
    <row r="21" spans="1:19" ht="21" customHeight="1">
      <c r="A21" t="s">
        <v>61</v>
      </c>
      <c r="B21" s="7" t="s">
        <v>176</v>
      </c>
    </row>
    <row r="22" spans="1:19" ht="21" customHeight="1">
      <c r="A22" t="s">
        <v>64</v>
      </c>
      <c r="B22" s="7" t="s">
        <v>160</v>
      </c>
      <c r="D22">
        <v>4531466</v>
      </c>
      <c r="E22">
        <v>5482403</v>
      </c>
    </row>
    <row r="23" spans="1:19" ht="21" customHeight="1">
      <c r="A23" t="s">
        <v>64</v>
      </c>
      <c r="B23" s="7" t="s">
        <v>161</v>
      </c>
      <c r="C23" t="s">
        <v>130</v>
      </c>
      <c r="D23">
        <v>-50291</v>
      </c>
      <c r="E23">
        <v>-39507</v>
      </c>
    </row>
    <row r="24" spans="1:19">
      <c r="A24" t="s">
        <v>95</v>
      </c>
      <c r="B24" s="7"/>
      <c r="D24">
        <v>4481175</v>
      </c>
      <c r="E24">
        <v>5442896</v>
      </c>
    </row>
    <row r="25" spans="1:19">
      <c r="S25" t="str">
        <f t="shared" ref="S25:S56" ca="1" si="0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 spans="1:19">
      <c r="S26" t="str">
        <f t="shared" ca="1" si="0"/>
        <v/>
      </c>
    </row>
    <row r="27" spans="1:19">
      <c r="S27" t="str">
        <f t="shared" ca="1" si="0"/>
        <v/>
      </c>
    </row>
    <row r="28" spans="1:19">
      <c r="S28" t="str">
        <f t="shared" ca="1" si="0"/>
        <v/>
      </c>
    </row>
    <row r="29" spans="1:19">
      <c r="S29" t="str">
        <f t="shared" ca="1" si="0"/>
        <v/>
      </c>
    </row>
    <row r="30" spans="1:19">
      <c r="S30" t="str">
        <f t="shared" ca="1" si="0"/>
        <v/>
      </c>
    </row>
    <row r="31" spans="1:19">
      <c r="S31" t="str">
        <f t="shared" ca="1" si="0"/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ref="S57:S88" ca="1" si="1"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ref="S89:S120" ca="1" si="2"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ref="S121:S152" ca="1" si="3"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ref="S153:S184" ca="1" si="4"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ref="S185:S209" ca="1" si="5"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N3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177</v>
      </c>
    </row>
    <row r="2" spans="1:20">
      <c r="A2" s="2" t="s">
        <v>45</v>
      </c>
      <c r="B2" s="3"/>
    </row>
    <row r="3" spans="1:20">
      <c r="A3" s="2" t="s">
        <v>46</v>
      </c>
      <c r="B3" s="3" t="s">
        <v>79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1000</v>
      </c>
      <c r="C5" t="s">
        <v>52</v>
      </c>
    </row>
    <row r="7" spans="1:20" ht="108" customHeight="1">
      <c r="A7" s="4" t="s">
        <v>53</v>
      </c>
      <c r="B7" s="4" t="s">
        <v>54</v>
      </c>
      <c r="C7" s="4" t="s">
        <v>55</v>
      </c>
      <c r="D7" s="8" t="s">
        <v>121</v>
      </c>
      <c r="E7" s="8" t="s">
        <v>123</v>
      </c>
      <c r="F7" s="8" t="s">
        <v>125</v>
      </c>
      <c r="G7" s="8" t="s">
        <v>126</v>
      </c>
      <c r="H7" s="8" t="s">
        <v>127</v>
      </c>
      <c r="I7" s="8" t="s">
        <v>128</v>
      </c>
      <c r="J7" s="8" t="s">
        <v>129</v>
      </c>
      <c r="K7" s="8" t="s">
        <v>131</v>
      </c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64</v>
      </c>
      <c r="B10" s="7" t="s">
        <v>178</v>
      </c>
      <c r="D10">
        <v>37058823</v>
      </c>
      <c r="E10">
        <v>1674460</v>
      </c>
      <c r="F10">
        <v>3352240</v>
      </c>
      <c r="G10">
        <v>-6758124</v>
      </c>
      <c r="H10">
        <v>-155857</v>
      </c>
      <c r="I10">
        <v>35171542</v>
      </c>
      <c r="J10">
        <v>1452876</v>
      </c>
      <c r="K10">
        <v>36624418</v>
      </c>
    </row>
    <row r="11" spans="1:20" ht="21" customHeight="1">
      <c r="A11" t="s">
        <v>64</v>
      </c>
      <c r="B11" s="7" t="s">
        <v>179</v>
      </c>
      <c r="D11" t="s">
        <v>83</v>
      </c>
      <c r="E11" t="s">
        <v>83</v>
      </c>
      <c r="F11">
        <v>1236970</v>
      </c>
      <c r="G11" t="s">
        <v>83</v>
      </c>
      <c r="H11" t="s">
        <v>83</v>
      </c>
      <c r="I11">
        <v>1236970</v>
      </c>
      <c r="J11">
        <v>-29804</v>
      </c>
      <c r="K11">
        <v>1207166</v>
      </c>
    </row>
    <row r="12" spans="1:20" ht="21" customHeight="1">
      <c r="A12" t="s">
        <v>64</v>
      </c>
      <c r="B12" s="7" t="s">
        <v>180</v>
      </c>
      <c r="D12" t="s">
        <v>83</v>
      </c>
      <c r="E12" t="s">
        <v>83</v>
      </c>
      <c r="F12" t="s">
        <v>83</v>
      </c>
      <c r="G12">
        <v>3223200</v>
      </c>
      <c r="H12">
        <v>71296</v>
      </c>
      <c r="I12">
        <v>3294496</v>
      </c>
      <c r="J12">
        <v>-20487</v>
      </c>
      <c r="K12">
        <v>3274009</v>
      </c>
    </row>
    <row r="13" spans="1:20" ht="21" customHeight="1">
      <c r="A13" t="s">
        <v>74</v>
      </c>
      <c r="B13" s="7" t="s">
        <v>181</v>
      </c>
      <c r="D13" t="s">
        <v>83</v>
      </c>
      <c r="E13" t="s">
        <v>83</v>
      </c>
      <c r="F13">
        <v>1236970</v>
      </c>
      <c r="G13">
        <v>3223200</v>
      </c>
      <c r="H13">
        <v>71296</v>
      </c>
      <c r="I13">
        <v>4531466</v>
      </c>
      <c r="J13">
        <v>-50291</v>
      </c>
      <c r="K13">
        <v>4481175</v>
      </c>
    </row>
    <row r="14" spans="1:20">
      <c r="A14" t="s">
        <v>64</v>
      </c>
      <c r="B14" s="7"/>
      <c r="D14" t="s">
        <v>83</v>
      </c>
      <c r="E14" t="s">
        <v>83</v>
      </c>
      <c r="F14">
        <v>267721</v>
      </c>
      <c r="G14" t="s">
        <v>83</v>
      </c>
      <c r="H14" t="s">
        <v>83</v>
      </c>
      <c r="I14">
        <v>267721</v>
      </c>
      <c r="J14">
        <v>-776872</v>
      </c>
      <c r="K14">
        <v>-509151</v>
      </c>
    </row>
    <row r="15" spans="1:20" ht="21" customHeight="1">
      <c r="A15" t="s">
        <v>64</v>
      </c>
      <c r="B15" s="7" t="s">
        <v>182</v>
      </c>
      <c r="D15" t="s">
        <v>83</v>
      </c>
      <c r="E15">
        <v>123697</v>
      </c>
      <c r="F15">
        <v>-123697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</row>
    <row r="16" spans="1:20" ht="55" customHeight="1">
      <c r="A16" t="s">
        <v>64</v>
      </c>
      <c r="B16" s="7" t="s">
        <v>183</v>
      </c>
      <c r="D16" t="s">
        <v>83</v>
      </c>
      <c r="E16" t="s">
        <v>83</v>
      </c>
      <c r="F16">
        <v>-1162431</v>
      </c>
      <c r="G16">
        <v>1162431</v>
      </c>
      <c r="H16" t="s">
        <v>83</v>
      </c>
      <c r="I16" t="s">
        <v>83</v>
      </c>
      <c r="J16" t="s">
        <v>83</v>
      </c>
      <c r="K16" t="s">
        <v>83</v>
      </c>
    </row>
    <row r="17" spans="1:19" ht="21" customHeight="1">
      <c r="A17" t="s">
        <v>64</v>
      </c>
      <c r="B17" s="7" t="s">
        <v>184</v>
      </c>
      <c r="D17" t="s">
        <v>83</v>
      </c>
      <c r="E17" t="s">
        <v>83</v>
      </c>
      <c r="F17">
        <v>-1037600</v>
      </c>
      <c r="G17" t="s">
        <v>83</v>
      </c>
      <c r="H17" t="s">
        <v>83</v>
      </c>
      <c r="I17">
        <v>-1037600</v>
      </c>
      <c r="J17" t="s">
        <v>83</v>
      </c>
      <c r="K17">
        <v>-1037600</v>
      </c>
    </row>
    <row r="18" spans="1:19" ht="21" customHeight="1">
      <c r="A18" t="s">
        <v>95</v>
      </c>
      <c r="B18" s="7" t="s">
        <v>185</v>
      </c>
      <c r="D18">
        <v>37058823</v>
      </c>
      <c r="E18">
        <v>1798157</v>
      </c>
      <c r="F18">
        <v>2533203</v>
      </c>
      <c r="G18">
        <v>-2372493</v>
      </c>
      <c r="H18">
        <v>-84561</v>
      </c>
      <c r="I18">
        <v>38933129</v>
      </c>
      <c r="J18">
        <v>625713</v>
      </c>
      <c r="K18">
        <v>39558842</v>
      </c>
    </row>
    <row r="19" spans="1:19" ht="21" customHeight="1">
      <c r="A19" t="s">
        <v>64</v>
      </c>
      <c r="B19" s="7" t="s">
        <v>186</v>
      </c>
      <c r="D19">
        <v>37058823</v>
      </c>
      <c r="E19">
        <v>1573136</v>
      </c>
      <c r="F19">
        <v>7413603</v>
      </c>
      <c r="G19">
        <v>-14712982</v>
      </c>
      <c r="H19">
        <v>-605841</v>
      </c>
      <c r="I19">
        <v>30726739</v>
      </c>
      <c r="J19">
        <v>1492383</v>
      </c>
      <c r="K19">
        <v>32219122</v>
      </c>
    </row>
    <row r="20" spans="1:19" ht="21" customHeight="1">
      <c r="A20" t="s">
        <v>64</v>
      </c>
      <c r="B20" s="7" t="s">
        <v>187</v>
      </c>
      <c r="D20" t="s">
        <v>83</v>
      </c>
      <c r="E20" t="s">
        <v>83</v>
      </c>
      <c r="F20">
        <v>1013243</v>
      </c>
      <c r="G20" t="s">
        <v>83</v>
      </c>
      <c r="H20" t="s">
        <v>83</v>
      </c>
      <c r="I20">
        <v>1013243</v>
      </c>
      <c r="J20">
        <v>-25000</v>
      </c>
      <c r="K20">
        <v>988243</v>
      </c>
    </row>
    <row r="21" spans="1:19" ht="21" customHeight="1">
      <c r="A21" t="s">
        <v>64</v>
      </c>
      <c r="B21" s="7" t="s">
        <v>166</v>
      </c>
      <c r="D21" t="s">
        <v>83</v>
      </c>
      <c r="E21" t="s">
        <v>83</v>
      </c>
      <c r="F21" t="s">
        <v>83</v>
      </c>
      <c r="G21">
        <v>4019176</v>
      </c>
      <c r="H21">
        <v>449984</v>
      </c>
      <c r="I21">
        <v>4469160</v>
      </c>
      <c r="J21">
        <v>-14507</v>
      </c>
      <c r="K21">
        <v>4454653</v>
      </c>
    </row>
    <row r="22" spans="1:19" ht="21" customHeight="1">
      <c r="A22" t="s">
        <v>74</v>
      </c>
      <c r="B22" s="7" t="s">
        <v>181</v>
      </c>
      <c r="D22" t="s">
        <v>83</v>
      </c>
      <c r="E22" t="s">
        <v>83</v>
      </c>
      <c r="F22">
        <v>1013243</v>
      </c>
      <c r="G22">
        <v>4019176</v>
      </c>
      <c r="H22">
        <v>449984</v>
      </c>
      <c r="I22">
        <v>5482403</v>
      </c>
      <c r="J22">
        <v>-39507</v>
      </c>
      <c r="K22">
        <v>5442896</v>
      </c>
    </row>
    <row r="23" spans="1:19" ht="21" customHeight="1">
      <c r="A23" t="s">
        <v>64</v>
      </c>
      <c r="B23" s="7" t="s">
        <v>182</v>
      </c>
      <c r="D23" t="s">
        <v>83</v>
      </c>
      <c r="E23">
        <v>101324</v>
      </c>
      <c r="F23">
        <v>-101324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</row>
    <row r="24" spans="1:19" ht="55" customHeight="1">
      <c r="A24" t="s">
        <v>64</v>
      </c>
      <c r="B24" s="7" t="s">
        <v>188</v>
      </c>
      <c r="D24" t="s">
        <v>83</v>
      </c>
      <c r="E24" t="s">
        <v>83</v>
      </c>
      <c r="F24">
        <v>-3935682</v>
      </c>
      <c r="G24">
        <v>3935682</v>
      </c>
      <c r="H24" t="s">
        <v>83</v>
      </c>
      <c r="I24" t="s">
        <v>83</v>
      </c>
      <c r="J24" t="s">
        <v>83</v>
      </c>
      <c r="K24" t="s">
        <v>83</v>
      </c>
    </row>
    <row r="25" spans="1:19" ht="21" customHeight="1">
      <c r="A25" t="s">
        <v>64</v>
      </c>
      <c r="B25" s="7" t="s">
        <v>189</v>
      </c>
      <c r="D25" t="s">
        <v>83</v>
      </c>
      <c r="E25" t="s">
        <v>83</v>
      </c>
      <c r="F25">
        <v>-1037600</v>
      </c>
      <c r="G25" t="s">
        <v>83</v>
      </c>
      <c r="H25" t="s">
        <v>83</v>
      </c>
      <c r="I25">
        <v>-1037600</v>
      </c>
      <c r="J25" t="s">
        <v>83</v>
      </c>
      <c r="K25">
        <v>-1037600</v>
      </c>
    </row>
    <row r="26" spans="1:19" ht="21" customHeight="1">
      <c r="A26" t="s">
        <v>95</v>
      </c>
      <c r="B26" s="7" t="s">
        <v>190</v>
      </c>
      <c r="D26">
        <v>37058823</v>
      </c>
      <c r="E26">
        <v>1674460</v>
      </c>
      <c r="F26">
        <v>3352240</v>
      </c>
      <c r="G26">
        <v>-6758124</v>
      </c>
      <c r="H26">
        <v>-155857</v>
      </c>
      <c r="I26">
        <v>35171542</v>
      </c>
      <c r="J26">
        <v>1452876</v>
      </c>
      <c r="K26">
        <v>36624418</v>
      </c>
    </row>
    <row r="27" spans="1:19">
      <c r="S27" t="str">
        <f t="shared" ref="S27:S58" ca="1" si="0"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","")&amp;",")),K$10:K$209))))&lt;=1,TRUE)),"✓","✗"))</f>
        <v/>
      </c>
    </row>
    <row r="28" spans="1:19">
      <c r="S28" t="str">
        <f t="shared" ca="1" si="0"/>
        <v/>
      </c>
    </row>
    <row r="29" spans="1:19">
      <c r="S29" t="str">
        <f t="shared" ca="1" si="0"/>
        <v/>
      </c>
    </row>
    <row r="30" spans="1:19">
      <c r="S30" t="str">
        <f t="shared" ca="1" si="0"/>
        <v/>
      </c>
    </row>
    <row r="31" spans="1:19">
      <c r="S31" t="str">
        <f t="shared" ca="1" si="0"/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ca="1" si="0"/>
        <v/>
      </c>
    </row>
    <row r="58" spans="19:19">
      <c r="S58" t="str">
        <f t="shared" ca="1" si="0"/>
        <v/>
      </c>
    </row>
    <row r="59" spans="19:19">
      <c r="S59" t="str">
        <f t="shared" ref="S59:S90" ca="1" si="1"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","")&amp;",")),K$10:K$209))))&lt;=1,TRUE)),"✓","✗"))</f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ca="1" si="1"/>
        <v/>
      </c>
    </row>
    <row r="90" spans="19:19">
      <c r="S90" t="str">
        <f t="shared" ca="1" si="1"/>
        <v/>
      </c>
    </row>
    <row r="91" spans="19:19">
      <c r="S91" t="str">
        <f t="shared" ref="S91:S122" ca="1" si="2"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","")&amp;",")),K$10:K$209))))&lt;=1,TRUE)),"✓","✗"))</f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ca="1" si="2"/>
        <v/>
      </c>
    </row>
    <row r="122" spans="19:19">
      <c r="S122" t="str">
        <f t="shared" ca="1" si="2"/>
        <v/>
      </c>
    </row>
    <row r="123" spans="19:19">
      <c r="S123" t="str">
        <f t="shared" ref="S123:S154" ca="1" si="3"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","")&amp;",")),K$10:K$209))))&lt;=1,TRUE)),"✓","✗"))</f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ca="1" si="3"/>
        <v/>
      </c>
    </row>
    <row r="154" spans="19:19">
      <c r="S154" t="str">
        <f t="shared" ca="1" si="3"/>
        <v/>
      </c>
    </row>
    <row r="155" spans="19:19">
      <c r="S155" t="str">
        <f t="shared" ref="S155:S186" ca="1" si="4"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","")&amp;",")),K$10:K$209))))&lt;=1,TRUE)),"✓","✗"))</f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ca="1" si="4"/>
        <v/>
      </c>
    </row>
    <row r="186" spans="19:19">
      <c r="S186" t="str">
        <f t="shared" ca="1" si="4"/>
        <v/>
      </c>
    </row>
    <row r="187" spans="19:19">
      <c r="S187" t="str">
        <f t="shared" ref="S187:S209" ca="1" si="5"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","")&amp;",")),K$10:K$209))))&lt;=1,TRUE)),"✓","✗"))</f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"/>
  <sheetViews>
    <sheetView workbookViewId="0">
      <pane xSplit="3" ySplit="9" topLeftCell="L53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191</v>
      </c>
    </row>
    <row r="2" spans="1:20">
      <c r="A2" s="2" t="s">
        <v>45</v>
      </c>
      <c r="B2" s="3"/>
    </row>
    <row r="3" spans="1:20">
      <c r="A3" s="2" t="s">
        <v>46</v>
      </c>
      <c r="B3" s="3" t="s">
        <v>81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1000</v>
      </c>
      <c r="C5" t="s">
        <v>52</v>
      </c>
    </row>
    <row r="7" spans="1:20" ht="57" customHeight="1">
      <c r="A7" s="4" t="s">
        <v>53</v>
      </c>
      <c r="B7" s="4" t="s">
        <v>54</v>
      </c>
      <c r="C7" s="4" t="s">
        <v>55</v>
      </c>
      <c r="D7" s="8" t="s">
        <v>133</v>
      </c>
      <c r="E7" s="8" t="s">
        <v>134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59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61</v>
      </c>
      <c r="B10" s="7" t="s">
        <v>192</v>
      </c>
    </row>
    <row r="11" spans="1:20" ht="21" customHeight="1">
      <c r="A11" t="s">
        <v>64</v>
      </c>
      <c r="B11" s="7" t="s">
        <v>193</v>
      </c>
      <c r="D11">
        <v>1451260</v>
      </c>
      <c r="E11">
        <v>1296075</v>
      </c>
    </row>
    <row r="12" spans="1:20" ht="21" customHeight="1">
      <c r="A12" t="s">
        <v>61</v>
      </c>
      <c r="B12" s="7" t="s">
        <v>194</v>
      </c>
    </row>
    <row r="13" spans="1:20" ht="38" customHeight="1">
      <c r="A13" t="s">
        <v>64</v>
      </c>
      <c r="B13" s="7" t="s">
        <v>195</v>
      </c>
      <c r="C13" t="s">
        <v>81</v>
      </c>
      <c r="D13">
        <v>-1209032</v>
      </c>
      <c r="E13">
        <v>-1032833</v>
      </c>
    </row>
    <row r="14" spans="1:20" ht="21" customHeight="1">
      <c r="A14" t="s">
        <v>64</v>
      </c>
      <c r="B14" s="7" t="s">
        <v>196</v>
      </c>
      <c r="C14" t="s">
        <v>197</v>
      </c>
      <c r="D14">
        <v>197005</v>
      </c>
      <c r="E14">
        <v>368614</v>
      </c>
    </row>
    <row r="15" spans="1:20" ht="38" customHeight="1">
      <c r="A15" t="s">
        <v>64</v>
      </c>
      <c r="B15" s="7" t="s">
        <v>198</v>
      </c>
      <c r="C15" t="s">
        <v>68</v>
      </c>
      <c r="D15" t="s">
        <v>83</v>
      </c>
      <c r="E15">
        <v>-127320</v>
      </c>
    </row>
    <row r="16" spans="1:20" ht="21" customHeight="1">
      <c r="A16" t="s">
        <v>64</v>
      </c>
      <c r="B16" s="7" t="s">
        <v>145</v>
      </c>
      <c r="C16" t="s">
        <v>47</v>
      </c>
      <c r="D16">
        <v>-1174</v>
      </c>
      <c r="E16">
        <v>5153</v>
      </c>
    </row>
    <row r="17" spans="1:5" ht="21" customHeight="1">
      <c r="A17" t="s">
        <v>64</v>
      </c>
      <c r="B17" s="7" t="s">
        <v>199</v>
      </c>
      <c r="C17" t="s">
        <v>150</v>
      </c>
      <c r="D17">
        <v>-13682</v>
      </c>
      <c r="E17" t="s">
        <v>83</v>
      </c>
    </row>
    <row r="18" spans="1:5" ht="21" customHeight="1">
      <c r="A18" t="s">
        <v>64</v>
      </c>
      <c r="B18" s="7" t="s">
        <v>200</v>
      </c>
      <c r="C18" t="s">
        <v>85</v>
      </c>
      <c r="D18">
        <v>-123457</v>
      </c>
      <c r="E18">
        <v>-254531</v>
      </c>
    </row>
    <row r="19" spans="1:5" ht="21" customHeight="1">
      <c r="A19" t="s">
        <v>64</v>
      </c>
      <c r="B19" s="7" t="s">
        <v>201</v>
      </c>
      <c r="C19" t="s">
        <v>85</v>
      </c>
      <c r="D19">
        <v>-46872</v>
      </c>
      <c r="E19">
        <v>-87204</v>
      </c>
    </row>
    <row r="20" spans="1:5" ht="21" customHeight="1">
      <c r="A20" t="s">
        <v>64</v>
      </c>
      <c r="B20" s="7" t="s">
        <v>202</v>
      </c>
      <c r="D20">
        <v>984515</v>
      </c>
      <c r="E20">
        <v>1289637</v>
      </c>
    </row>
    <row r="21" spans="1:5" ht="21" customHeight="1">
      <c r="A21" t="s">
        <v>64</v>
      </c>
      <c r="B21" s="7" t="s">
        <v>203</v>
      </c>
      <c r="C21" t="s">
        <v>115</v>
      </c>
      <c r="D21">
        <v>11958</v>
      </c>
      <c r="E21">
        <v>2062</v>
      </c>
    </row>
    <row r="22" spans="1:5" ht="38" customHeight="1">
      <c r="A22" t="s">
        <v>64</v>
      </c>
      <c r="B22" s="7" t="s">
        <v>148</v>
      </c>
      <c r="C22" t="s">
        <v>81</v>
      </c>
      <c r="D22">
        <v>-200000</v>
      </c>
      <c r="E22" t="s">
        <v>83</v>
      </c>
    </row>
    <row r="23" spans="1:5">
      <c r="A23" t="s">
        <v>74</v>
      </c>
      <c r="B23" s="7"/>
      <c r="D23">
        <v>1050521</v>
      </c>
      <c r="E23">
        <v>1459653</v>
      </c>
    </row>
    <row r="24" spans="1:5" ht="21" customHeight="1">
      <c r="A24" t="s">
        <v>61</v>
      </c>
      <c r="B24" s="7" t="s">
        <v>204</v>
      </c>
    </row>
    <row r="25" spans="1:5" ht="21" customHeight="1">
      <c r="A25" t="s">
        <v>64</v>
      </c>
      <c r="B25" s="7" t="s">
        <v>67</v>
      </c>
      <c r="D25">
        <v>-10845</v>
      </c>
      <c r="E25" t="s">
        <v>83</v>
      </c>
    </row>
    <row r="26" spans="1:5" ht="21" customHeight="1">
      <c r="A26" t="s">
        <v>64</v>
      </c>
      <c r="B26" s="7" t="s">
        <v>69</v>
      </c>
      <c r="D26">
        <v>1475546</v>
      </c>
      <c r="E26">
        <v>-235802</v>
      </c>
    </row>
    <row r="27" spans="1:5" ht="21" customHeight="1">
      <c r="A27" t="s">
        <v>64</v>
      </c>
      <c r="B27" s="7" t="s">
        <v>70</v>
      </c>
      <c r="D27">
        <v>-98883</v>
      </c>
      <c r="E27">
        <v>45995</v>
      </c>
    </row>
    <row r="28" spans="1:5" ht="21" customHeight="1">
      <c r="A28" t="s">
        <v>64</v>
      </c>
      <c r="B28" s="7" t="s">
        <v>72</v>
      </c>
      <c r="D28">
        <v>8965</v>
      </c>
      <c r="E28">
        <v>-2882</v>
      </c>
    </row>
    <row r="29" spans="1:5" ht="21" customHeight="1">
      <c r="A29" t="s">
        <v>64</v>
      </c>
      <c r="B29" s="7" t="s">
        <v>92</v>
      </c>
      <c r="D29">
        <v>500236</v>
      </c>
      <c r="E29">
        <v>12088</v>
      </c>
    </row>
    <row r="30" spans="1:5" ht="21" customHeight="1">
      <c r="A30" t="s">
        <v>64</v>
      </c>
      <c r="B30" s="7" t="s">
        <v>101</v>
      </c>
      <c r="D30" t="s">
        <v>83</v>
      </c>
      <c r="E30">
        <v>74927</v>
      </c>
    </row>
    <row r="31" spans="1:5" ht="21" customHeight="1">
      <c r="A31" t="s">
        <v>64</v>
      </c>
      <c r="B31" s="7" t="s">
        <v>103</v>
      </c>
      <c r="D31">
        <v>-24211</v>
      </c>
      <c r="E31">
        <v>-126192</v>
      </c>
    </row>
    <row r="32" spans="1:5" ht="21" customHeight="1">
      <c r="A32" t="s">
        <v>64</v>
      </c>
      <c r="B32" s="7" t="s">
        <v>107</v>
      </c>
      <c r="D32">
        <v>-100875</v>
      </c>
      <c r="E32">
        <v>441</v>
      </c>
    </row>
    <row r="33" spans="1:5" ht="21" customHeight="1">
      <c r="A33" t="s">
        <v>64</v>
      </c>
      <c r="B33" s="7" t="s">
        <v>116</v>
      </c>
      <c r="D33">
        <v>-1751</v>
      </c>
      <c r="E33">
        <v>-27291</v>
      </c>
    </row>
    <row r="34" spans="1:5">
      <c r="A34" t="s">
        <v>74</v>
      </c>
      <c r="B34" s="7"/>
      <c r="D34">
        <v>2798703</v>
      </c>
      <c r="E34">
        <v>1200937</v>
      </c>
    </row>
    <row r="35" spans="1:5" ht="21" customHeight="1">
      <c r="A35" t="s">
        <v>64</v>
      </c>
      <c r="B35" s="7" t="s">
        <v>205</v>
      </c>
      <c r="C35" t="s">
        <v>106</v>
      </c>
      <c r="D35">
        <v>-114565</v>
      </c>
      <c r="E35">
        <v>-491488</v>
      </c>
    </row>
    <row r="36" spans="1:5" ht="21" customHeight="1">
      <c r="A36" t="s">
        <v>64</v>
      </c>
      <c r="B36" s="7" t="s">
        <v>206</v>
      </c>
      <c r="C36" t="s">
        <v>115</v>
      </c>
      <c r="D36">
        <v>-9319</v>
      </c>
      <c r="E36">
        <v>-6702</v>
      </c>
    </row>
    <row r="37" spans="1:5" ht="21" customHeight="1">
      <c r="A37" t="s">
        <v>95</v>
      </c>
      <c r="B37" s="7" t="s">
        <v>207</v>
      </c>
      <c r="D37">
        <v>2674819</v>
      </c>
      <c r="E37">
        <v>702747</v>
      </c>
    </row>
    <row r="38" spans="1:5" ht="21" customHeight="1">
      <c r="A38" t="s">
        <v>61</v>
      </c>
      <c r="B38" s="7" t="s">
        <v>208</v>
      </c>
    </row>
    <row r="39" spans="1:5" ht="38" customHeight="1">
      <c r="A39" t="s">
        <v>64</v>
      </c>
      <c r="B39" s="7" t="s">
        <v>209</v>
      </c>
      <c r="C39" t="s">
        <v>79</v>
      </c>
      <c r="D39">
        <v>-3053375</v>
      </c>
      <c r="E39">
        <v>-3173907</v>
      </c>
    </row>
    <row r="40" spans="1:5" ht="38" customHeight="1">
      <c r="A40" t="s">
        <v>64</v>
      </c>
      <c r="B40" s="7" t="s">
        <v>210</v>
      </c>
      <c r="C40" t="s">
        <v>211</v>
      </c>
      <c r="D40">
        <v>3673350</v>
      </c>
      <c r="E40">
        <v>6776442</v>
      </c>
    </row>
    <row r="41" spans="1:5" ht="38" customHeight="1">
      <c r="A41" t="s">
        <v>64</v>
      </c>
      <c r="B41" s="7" t="s">
        <v>212</v>
      </c>
      <c r="C41" t="s">
        <v>81</v>
      </c>
      <c r="D41">
        <v>469606</v>
      </c>
      <c r="E41">
        <v>437647</v>
      </c>
    </row>
    <row r="42" spans="1:5" ht="21" customHeight="1">
      <c r="A42" t="s">
        <v>64</v>
      </c>
      <c r="B42" s="7" t="s">
        <v>213</v>
      </c>
      <c r="C42" t="s">
        <v>85</v>
      </c>
      <c r="D42" t="s">
        <v>83</v>
      </c>
      <c r="E42">
        <v>-94246</v>
      </c>
    </row>
    <row r="43" spans="1:5" ht="21" customHeight="1">
      <c r="A43" t="s">
        <v>64</v>
      </c>
      <c r="B43" s="7" t="s">
        <v>214</v>
      </c>
      <c r="C43" t="s">
        <v>85</v>
      </c>
      <c r="D43">
        <v>980700</v>
      </c>
      <c r="E43" t="s">
        <v>83</v>
      </c>
    </row>
    <row r="44" spans="1:5" ht="21" customHeight="1">
      <c r="A44" t="s">
        <v>64</v>
      </c>
      <c r="B44" s="7" t="s">
        <v>215</v>
      </c>
      <c r="C44" t="s">
        <v>87</v>
      </c>
      <c r="D44">
        <v>-276533</v>
      </c>
      <c r="E44">
        <v>-284993</v>
      </c>
    </row>
    <row r="45" spans="1:5" ht="38" customHeight="1">
      <c r="A45" t="s">
        <v>64</v>
      </c>
      <c r="B45" s="7" t="s">
        <v>216</v>
      </c>
      <c r="C45" t="s">
        <v>81</v>
      </c>
      <c r="D45">
        <v>-233050</v>
      </c>
      <c r="E45" t="s">
        <v>83</v>
      </c>
    </row>
    <row r="46" spans="1:5" ht="21" customHeight="1">
      <c r="A46" t="s">
        <v>64</v>
      </c>
      <c r="B46" s="7" t="s">
        <v>217</v>
      </c>
      <c r="C46" t="s">
        <v>89</v>
      </c>
      <c r="D46">
        <v>-121</v>
      </c>
      <c r="E46" t="s">
        <v>83</v>
      </c>
    </row>
    <row r="47" spans="1:5" ht="21" customHeight="1">
      <c r="A47" t="s">
        <v>64</v>
      </c>
      <c r="B47" s="7" t="s">
        <v>218</v>
      </c>
      <c r="D47" t="s">
        <v>83</v>
      </c>
      <c r="E47">
        <v>-183000</v>
      </c>
    </row>
    <row r="48" spans="1:5" ht="21" customHeight="1">
      <c r="A48" t="s">
        <v>95</v>
      </c>
      <c r="B48" s="7" t="s">
        <v>219</v>
      </c>
      <c r="D48">
        <v>1560577</v>
      </c>
      <c r="E48">
        <v>3477943</v>
      </c>
    </row>
    <row r="49" spans="1:19" ht="21" customHeight="1">
      <c r="A49" t="s">
        <v>61</v>
      </c>
      <c r="B49" s="7" t="s">
        <v>220</v>
      </c>
    </row>
    <row r="50" spans="1:19" ht="21" customHeight="1">
      <c r="A50" t="s">
        <v>64</v>
      </c>
      <c r="B50" s="7" t="s">
        <v>221</v>
      </c>
      <c r="C50" t="s">
        <v>100</v>
      </c>
      <c r="D50">
        <v>3388755</v>
      </c>
      <c r="E50">
        <v>9661639</v>
      </c>
    </row>
    <row r="51" spans="1:19" ht="21" customHeight="1">
      <c r="A51" t="s">
        <v>64</v>
      </c>
      <c r="B51" s="7" t="s">
        <v>222</v>
      </c>
      <c r="C51" t="s">
        <v>100</v>
      </c>
      <c r="D51">
        <v>-5433087</v>
      </c>
      <c r="E51">
        <v>-13151672</v>
      </c>
    </row>
    <row r="52" spans="1:19" ht="21" customHeight="1">
      <c r="A52" t="s">
        <v>64</v>
      </c>
      <c r="B52" s="7" t="s">
        <v>223</v>
      </c>
      <c r="C52" t="s">
        <v>109</v>
      </c>
      <c r="D52">
        <v>-1037565</v>
      </c>
      <c r="E52">
        <v>-1037636</v>
      </c>
    </row>
    <row r="53" spans="1:19" ht="21" customHeight="1">
      <c r="A53" t="s">
        <v>64</v>
      </c>
      <c r="B53" s="7" t="s">
        <v>224</v>
      </c>
      <c r="D53">
        <v>104847</v>
      </c>
      <c r="E53">
        <v>103788</v>
      </c>
    </row>
    <row r="54" spans="1:19" ht="21" customHeight="1">
      <c r="A54" t="s">
        <v>64</v>
      </c>
      <c r="B54" s="7" t="s">
        <v>225</v>
      </c>
      <c r="D54">
        <v>-1457636</v>
      </c>
      <c r="E54">
        <v>-1383653</v>
      </c>
    </row>
    <row r="55" spans="1:19" ht="21" customHeight="1">
      <c r="A55" t="s">
        <v>64</v>
      </c>
      <c r="B55" s="7" t="s">
        <v>226</v>
      </c>
      <c r="C55" t="s">
        <v>73</v>
      </c>
      <c r="D55" t="s">
        <v>83</v>
      </c>
      <c r="E55">
        <v>-227319</v>
      </c>
    </row>
    <row r="56" spans="1:19" ht="21" customHeight="1">
      <c r="A56" t="s">
        <v>64</v>
      </c>
      <c r="B56" s="7" t="s">
        <v>227</v>
      </c>
      <c r="C56" t="s">
        <v>73</v>
      </c>
      <c r="D56">
        <v>70006</v>
      </c>
      <c r="E56">
        <v>440793</v>
      </c>
    </row>
    <row r="57" spans="1:19" ht="21" customHeight="1">
      <c r="A57" t="s">
        <v>95</v>
      </c>
      <c r="B57" s="7" t="s">
        <v>228</v>
      </c>
      <c r="D57">
        <v>-4364680</v>
      </c>
      <c r="E57">
        <v>-5594060</v>
      </c>
    </row>
    <row r="58" spans="1:19" ht="21" customHeight="1">
      <c r="A58" t="s">
        <v>95</v>
      </c>
      <c r="B58" s="7" t="s">
        <v>229</v>
      </c>
      <c r="D58">
        <v>-129284</v>
      </c>
      <c r="E58">
        <v>-1413370</v>
      </c>
    </row>
    <row r="59" spans="1:19" ht="21" customHeight="1">
      <c r="A59" t="s">
        <v>64</v>
      </c>
      <c r="B59" s="7" t="s">
        <v>230</v>
      </c>
      <c r="D59">
        <v>1625187</v>
      </c>
      <c r="E59">
        <v>3038557</v>
      </c>
    </row>
    <row r="60" spans="1:19" ht="21" customHeight="1">
      <c r="A60" t="s">
        <v>95</v>
      </c>
      <c r="B60" s="7" t="s">
        <v>231</v>
      </c>
      <c r="C60" t="s">
        <v>66</v>
      </c>
      <c r="D60">
        <v>1495903</v>
      </c>
      <c r="E60">
        <v>1625187</v>
      </c>
    </row>
    <row r="61" spans="1:19">
      <c r="S61" t="str">
        <f t="shared" ref="S61:S92" ca="1" si="0"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 spans="1:19">
      <c r="S62" t="str">
        <f t="shared" ca="1" si="0"/>
        <v/>
      </c>
    </row>
    <row r="63" spans="1:19">
      <c r="S63" t="str">
        <f t="shared" ca="1" si="0"/>
        <v/>
      </c>
    </row>
    <row r="64" spans="1:19">
      <c r="S64" t="str">
        <f t="shared" ca="1" si="0"/>
        <v/>
      </c>
    </row>
    <row r="65" spans="19:19">
      <c r="S65" t="str">
        <f t="shared" ca="1" si="0"/>
        <v/>
      </c>
    </row>
    <row r="66" spans="19:19">
      <c r="S66" t="str">
        <f t="shared" ca="1" si="0"/>
        <v/>
      </c>
    </row>
    <row r="67" spans="19:19">
      <c r="S67" t="str">
        <f t="shared" ca="1" si="0"/>
        <v/>
      </c>
    </row>
    <row r="68" spans="19:19">
      <c r="S68" t="str">
        <f t="shared" ca="1" si="0"/>
        <v/>
      </c>
    </row>
    <row r="69" spans="19:19">
      <c r="S69" t="str">
        <f t="shared" ca="1" si="0"/>
        <v/>
      </c>
    </row>
    <row r="70" spans="19:19">
      <c r="S70" t="str">
        <f t="shared" ca="1" si="0"/>
        <v/>
      </c>
    </row>
    <row r="71" spans="19:19">
      <c r="S71" t="str">
        <f t="shared" ca="1" si="0"/>
        <v/>
      </c>
    </row>
    <row r="72" spans="19:19">
      <c r="S72" t="str">
        <f t="shared" ca="1" si="0"/>
        <v/>
      </c>
    </row>
    <row r="73" spans="19:19">
      <c r="S73" t="str">
        <f t="shared" ca="1" si="0"/>
        <v/>
      </c>
    </row>
    <row r="74" spans="19:19">
      <c r="S74" t="str">
        <f t="shared" ca="1" si="0"/>
        <v/>
      </c>
    </row>
    <row r="75" spans="19:19">
      <c r="S75" t="str">
        <f t="shared" ca="1" si="0"/>
        <v/>
      </c>
    </row>
    <row r="76" spans="19:19">
      <c r="S76" t="str">
        <f t="shared" ca="1" si="0"/>
        <v/>
      </c>
    </row>
    <row r="77" spans="19:19">
      <c r="S77" t="str">
        <f t="shared" ca="1" si="0"/>
        <v/>
      </c>
    </row>
    <row r="78" spans="19:19">
      <c r="S78" t="str">
        <f t="shared" ca="1" si="0"/>
        <v/>
      </c>
    </row>
    <row r="79" spans="19:19">
      <c r="S79" t="str">
        <f t="shared" ca="1" si="0"/>
        <v/>
      </c>
    </row>
    <row r="80" spans="19:19">
      <c r="S80" t="str">
        <f t="shared" ca="1" si="0"/>
        <v/>
      </c>
    </row>
    <row r="81" spans="19:19">
      <c r="S81" t="str">
        <f t="shared" ca="1" si="0"/>
        <v/>
      </c>
    </row>
    <row r="82" spans="19:19">
      <c r="S82" t="str">
        <f t="shared" ca="1" si="0"/>
        <v/>
      </c>
    </row>
    <row r="83" spans="19:19">
      <c r="S83" t="str">
        <f t="shared" ca="1" si="0"/>
        <v/>
      </c>
    </row>
    <row r="84" spans="19:19">
      <c r="S84" t="str">
        <f t="shared" ca="1" si="0"/>
        <v/>
      </c>
    </row>
    <row r="85" spans="19:19">
      <c r="S85" t="str">
        <f t="shared" ca="1" si="0"/>
        <v/>
      </c>
    </row>
    <row r="86" spans="19:19">
      <c r="S86" t="str">
        <f t="shared" ca="1" si="0"/>
        <v/>
      </c>
    </row>
    <row r="87" spans="19:19">
      <c r="S87" t="str">
        <f t="shared" ca="1" si="0"/>
        <v/>
      </c>
    </row>
    <row r="88" spans="19:19">
      <c r="S88" t="str">
        <f t="shared" ca="1" si="0"/>
        <v/>
      </c>
    </row>
    <row r="89" spans="19:19">
      <c r="S89" t="str">
        <f t="shared" ca="1" si="0"/>
        <v/>
      </c>
    </row>
    <row r="90" spans="19:19">
      <c r="S90" t="str">
        <f t="shared" ca="1" si="0"/>
        <v/>
      </c>
    </row>
    <row r="91" spans="19:19">
      <c r="S91" t="str">
        <f t="shared" ca="1" si="0"/>
        <v/>
      </c>
    </row>
    <row r="92" spans="19:19">
      <c r="S92" t="str">
        <f t="shared" ca="1" si="0"/>
        <v/>
      </c>
    </row>
    <row r="93" spans="19:19">
      <c r="S93" t="str">
        <f t="shared" ref="S93:S124" ca="1" si="1"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 spans="19:19">
      <c r="S94" t="str">
        <f t="shared" ca="1" si="1"/>
        <v/>
      </c>
    </row>
    <row r="95" spans="19:19">
      <c r="S95" t="str">
        <f t="shared" ca="1" si="1"/>
        <v/>
      </c>
    </row>
    <row r="96" spans="19:19">
      <c r="S96" t="str">
        <f t="shared" ca="1" si="1"/>
        <v/>
      </c>
    </row>
    <row r="97" spans="19:19">
      <c r="S97" t="str">
        <f t="shared" ca="1" si="1"/>
        <v/>
      </c>
    </row>
    <row r="98" spans="19:19">
      <c r="S98" t="str">
        <f t="shared" ca="1" si="1"/>
        <v/>
      </c>
    </row>
    <row r="99" spans="19:19">
      <c r="S99" t="str">
        <f t="shared" ca="1" si="1"/>
        <v/>
      </c>
    </row>
    <row r="100" spans="19:19">
      <c r="S100" t="str">
        <f t="shared" ca="1" si="1"/>
        <v/>
      </c>
    </row>
    <row r="101" spans="19:19">
      <c r="S101" t="str">
        <f t="shared" ca="1" si="1"/>
        <v/>
      </c>
    </row>
    <row r="102" spans="19:19">
      <c r="S102" t="str">
        <f t="shared" ca="1" si="1"/>
        <v/>
      </c>
    </row>
    <row r="103" spans="19:19">
      <c r="S103" t="str">
        <f t="shared" ca="1" si="1"/>
        <v/>
      </c>
    </row>
    <row r="104" spans="19:19">
      <c r="S104" t="str">
        <f t="shared" ca="1" si="1"/>
        <v/>
      </c>
    </row>
    <row r="105" spans="19:19">
      <c r="S105" t="str">
        <f t="shared" ca="1" si="1"/>
        <v/>
      </c>
    </row>
    <row r="106" spans="19:19">
      <c r="S106" t="str">
        <f t="shared" ca="1" si="1"/>
        <v/>
      </c>
    </row>
    <row r="107" spans="19:19">
      <c r="S107" t="str">
        <f t="shared" ca="1" si="1"/>
        <v/>
      </c>
    </row>
    <row r="108" spans="19:19">
      <c r="S108" t="str">
        <f t="shared" ca="1" si="1"/>
        <v/>
      </c>
    </row>
    <row r="109" spans="19:19">
      <c r="S109" t="str">
        <f t="shared" ca="1" si="1"/>
        <v/>
      </c>
    </row>
    <row r="110" spans="19:19">
      <c r="S110" t="str">
        <f t="shared" ca="1" si="1"/>
        <v/>
      </c>
    </row>
    <row r="111" spans="19:19">
      <c r="S111" t="str">
        <f t="shared" ca="1" si="1"/>
        <v/>
      </c>
    </row>
    <row r="112" spans="19:19">
      <c r="S112" t="str">
        <f t="shared" ca="1" si="1"/>
        <v/>
      </c>
    </row>
    <row r="113" spans="19:19">
      <c r="S113" t="str">
        <f t="shared" ca="1" si="1"/>
        <v/>
      </c>
    </row>
    <row r="114" spans="19:19">
      <c r="S114" t="str">
        <f t="shared" ca="1" si="1"/>
        <v/>
      </c>
    </row>
    <row r="115" spans="19:19">
      <c r="S115" t="str">
        <f t="shared" ca="1" si="1"/>
        <v/>
      </c>
    </row>
    <row r="116" spans="19:19">
      <c r="S116" t="str">
        <f t="shared" ca="1" si="1"/>
        <v/>
      </c>
    </row>
    <row r="117" spans="19:19">
      <c r="S117" t="str">
        <f t="shared" ca="1" si="1"/>
        <v/>
      </c>
    </row>
    <row r="118" spans="19:19">
      <c r="S118" t="str">
        <f t="shared" ca="1" si="1"/>
        <v/>
      </c>
    </row>
    <row r="119" spans="19:19">
      <c r="S119" t="str">
        <f t="shared" ca="1" si="1"/>
        <v/>
      </c>
    </row>
    <row r="120" spans="19:19">
      <c r="S120" t="str">
        <f t="shared" ca="1" si="1"/>
        <v/>
      </c>
    </row>
    <row r="121" spans="19:19">
      <c r="S121" t="str">
        <f t="shared" ca="1" si="1"/>
        <v/>
      </c>
    </row>
    <row r="122" spans="19:19">
      <c r="S122" t="str">
        <f t="shared" ca="1" si="1"/>
        <v/>
      </c>
    </row>
    <row r="123" spans="19:19">
      <c r="S123" t="str">
        <f t="shared" ca="1" si="1"/>
        <v/>
      </c>
    </row>
    <row r="124" spans="19:19">
      <c r="S124" t="str">
        <f t="shared" ca="1" si="1"/>
        <v/>
      </c>
    </row>
    <row r="125" spans="19:19">
      <c r="S125" t="str">
        <f t="shared" ref="S125:S156" ca="1" si="2"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 spans="19:19">
      <c r="S126" t="str">
        <f t="shared" ca="1" si="2"/>
        <v/>
      </c>
    </row>
    <row r="127" spans="19:19">
      <c r="S127" t="str">
        <f t="shared" ca="1" si="2"/>
        <v/>
      </c>
    </row>
    <row r="128" spans="19:19">
      <c r="S128" t="str">
        <f t="shared" ca="1" si="2"/>
        <v/>
      </c>
    </row>
    <row r="129" spans="19:19">
      <c r="S129" t="str">
        <f t="shared" ca="1" si="2"/>
        <v/>
      </c>
    </row>
    <row r="130" spans="19:19">
      <c r="S130" t="str">
        <f t="shared" ca="1" si="2"/>
        <v/>
      </c>
    </row>
    <row r="131" spans="19:19">
      <c r="S131" t="str">
        <f t="shared" ca="1" si="2"/>
        <v/>
      </c>
    </row>
    <row r="132" spans="19:19">
      <c r="S132" t="str">
        <f t="shared" ca="1" si="2"/>
        <v/>
      </c>
    </row>
    <row r="133" spans="19:19">
      <c r="S133" t="str">
        <f t="shared" ca="1" si="2"/>
        <v/>
      </c>
    </row>
    <row r="134" spans="19:19">
      <c r="S134" t="str">
        <f t="shared" ca="1" si="2"/>
        <v/>
      </c>
    </row>
    <row r="135" spans="19:19">
      <c r="S135" t="str">
        <f t="shared" ca="1" si="2"/>
        <v/>
      </c>
    </row>
    <row r="136" spans="19:19">
      <c r="S136" t="str">
        <f t="shared" ca="1" si="2"/>
        <v/>
      </c>
    </row>
    <row r="137" spans="19:19">
      <c r="S137" t="str">
        <f t="shared" ca="1" si="2"/>
        <v/>
      </c>
    </row>
    <row r="138" spans="19:19">
      <c r="S138" t="str">
        <f t="shared" ca="1" si="2"/>
        <v/>
      </c>
    </row>
    <row r="139" spans="19:19">
      <c r="S139" t="str">
        <f t="shared" ca="1" si="2"/>
        <v/>
      </c>
    </row>
    <row r="140" spans="19:19">
      <c r="S140" t="str">
        <f t="shared" ca="1" si="2"/>
        <v/>
      </c>
    </row>
    <row r="141" spans="19:19">
      <c r="S141" t="str">
        <f t="shared" ca="1" si="2"/>
        <v/>
      </c>
    </row>
    <row r="142" spans="19:19">
      <c r="S142" t="str">
        <f t="shared" ca="1" si="2"/>
        <v/>
      </c>
    </row>
    <row r="143" spans="19:19">
      <c r="S143" t="str">
        <f t="shared" ca="1" si="2"/>
        <v/>
      </c>
    </row>
    <row r="144" spans="19:19">
      <c r="S144" t="str">
        <f t="shared" ca="1" si="2"/>
        <v/>
      </c>
    </row>
    <row r="145" spans="19:19">
      <c r="S145" t="str">
        <f t="shared" ca="1" si="2"/>
        <v/>
      </c>
    </row>
    <row r="146" spans="19:19">
      <c r="S146" t="str">
        <f t="shared" ca="1" si="2"/>
        <v/>
      </c>
    </row>
    <row r="147" spans="19:19">
      <c r="S147" t="str">
        <f t="shared" ca="1" si="2"/>
        <v/>
      </c>
    </row>
    <row r="148" spans="19:19">
      <c r="S148" t="str">
        <f t="shared" ca="1" si="2"/>
        <v/>
      </c>
    </row>
    <row r="149" spans="19:19">
      <c r="S149" t="str">
        <f t="shared" ca="1" si="2"/>
        <v/>
      </c>
    </row>
    <row r="150" spans="19:19">
      <c r="S150" t="str">
        <f t="shared" ca="1" si="2"/>
        <v/>
      </c>
    </row>
    <row r="151" spans="19:19">
      <c r="S151" t="str">
        <f t="shared" ca="1" si="2"/>
        <v/>
      </c>
    </row>
    <row r="152" spans="19:19">
      <c r="S152" t="str">
        <f t="shared" ca="1" si="2"/>
        <v/>
      </c>
    </row>
    <row r="153" spans="19:19">
      <c r="S153" t="str">
        <f t="shared" ca="1" si="2"/>
        <v/>
      </c>
    </row>
    <row r="154" spans="19:19">
      <c r="S154" t="str">
        <f t="shared" ca="1" si="2"/>
        <v/>
      </c>
    </row>
    <row r="155" spans="19:19">
      <c r="S155" t="str">
        <f t="shared" ca="1" si="2"/>
        <v/>
      </c>
    </row>
    <row r="156" spans="19:19">
      <c r="S156" t="str">
        <f t="shared" ca="1" si="2"/>
        <v/>
      </c>
    </row>
    <row r="157" spans="19:19">
      <c r="S157" t="str">
        <f t="shared" ref="S157:S188" ca="1" si="3"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 spans="19:19">
      <c r="S158" t="str">
        <f t="shared" ca="1" si="3"/>
        <v/>
      </c>
    </row>
    <row r="159" spans="19:19">
      <c r="S159" t="str">
        <f t="shared" ca="1" si="3"/>
        <v/>
      </c>
    </row>
    <row r="160" spans="19:19">
      <c r="S160" t="str">
        <f t="shared" ca="1" si="3"/>
        <v/>
      </c>
    </row>
    <row r="161" spans="19:19">
      <c r="S161" t="str">
        <f t="shared" ca="1" si="3"/>
        <v/>
      </c>
    </row>
    <row r="162" spans="19:19">
      <c r="S162" t="str">
        <f t="shared" ca="1" si="3"/>
        <v/>
      </c>
    </row>
    <row r="163" spans="19:19">
      <c r="S163" t="str">
        <f t="shared" ca="1" si="3"/>
        <v/>
      </c>
    </row>
    <row r="164" spans="19:19">
      <c r="S164" t="str">
        <f t="shared" ca="1" si="3"/>
        <v/>
      </c>
    </row>
    <row r="165" spans="19:19">
      <c r="S165" t="str">
        <f t="shared" ca="1" si="3"/>
        <v/>
      </c>
    </row>
    <row r="166" spans="19:19">
      <c r="S166" t="str">
        <f t="shared" ca="1" si="3"/>
        <v/>
      </c>
    </row>
    <row r="167" spans="19:19">
      <c r="S167" t="str">
        <f t="shared" ca="1" si="3"/>
        <v/>
      </c>
    </row>
    <row r="168" spans="19:19">
      <c r="S168" t="str">
        <f t="shared" ca="1" si="3"/>
        <v/>
      </c>
    </row>
    <row r="169" spans="19:19">
      <c r="S169" t="str">
        <f t="shared" ca="1" si="3"/>
        <v/>
      </c>
    </row>
    <row r="170" spans="19:19">
      <c r="S170" t="str">
        <f t="shared" ca="1" si="3"/>
        <v/>
      </c>
    </row>
    <row r="171" spans="19:19">
      <c r="S171" t="str">
        <f t="shared" ca="1" si="3"/>
        <v/>
      </c>
    </row>
    <row r="172" spans="19:19">
      <c r="S172" t="str">
        <f t="shared" ca="1" si="3"/>
        <v/>
      </c>
    </row>
    <row r="173" spans="19:19">
      <c r="S173" t="str">
        <f t="shared" ca="1" si="3"/>
        <v/>
      </c>
    </row>
    <row r="174" spans="19:19">
      <c r="S174" t="str">
        <f t="shared" ca="1" si="3"/>
        <v/>
      </c>
    </row>
    <row r="175" spans="19:19">
      <c r="S175" t="str">
        <f t="shared" ca="1" si="3"/>
        <v/>
      </c>
    </row>
    <row r="176" spans="19:19">
      <c r="S176" t="str">
        <f t="shared" ca="1" si="3"/>
        <v/>
      </c>
    </row>
    <row r="177" spans="19:19">
      <c r="S177" t="str">
        <f t="shared" ca="1" si="3"/>
        <v/>
      </c>
    </row>
    <row r="178" spans="19:19">
      <c r="S178" t="str">
        <f t="shared" ca="1" si="3"/>
        <v/>
      </c>
    </row>
    <row r="179" spans="19:19">
      <c r="S179" t="str">
        <f t="shared" ca="1" si="3"/>
        <v/>
      </c>
    </row>
    <row r="180" spans="19:19">
      <c r="S180" t="str">
        <f t="shared" ca="1" si="3"/>
        <v/>
      </c>
    </row>
    <row r="181" spans="19:19">
      <c r="S181" t="str">
        <f t="shared" ca="1" si="3"/>
        <v/>
      </c>
    </row>
    <row r="182" spans="19:19">
      <c r="S182" t="str">
        <f t="shared" ca="1" si="3"/>
        <v/>
      </c>
    </row>
    <row r="183" spans="19:19">
      <c r="S183" t="str">
        <f t="shared" ca="1" si="3"/>
        <v/>
      </c>
    </row>
    <row r="184" spans="19:19">
      <c r="S184" t="str">
        <f t="shared" ca="1" si="3"/>
        <v/>
      </c>
    </row>
    <row r="185" spans="19:19">
      <c r="S185" t="str">
        <f t="shared" ca="1" si="3"/>
        <v/>
      </c>
    </row>
    <row r="186" spans="19:19">
      <c r="S186" t="str">
        <f t="shared" ca="1" si="3"/>
        <v/>
      </c>
    </row>
    <row r="187" spans="19:19">
      <c r="S187" t="str">
        <f t="shared" ca="1" si="3"/>
        <v/>
      </c>
    </row>
    <row r="188" spans="19:19">
      <c r="S188" t="str">
        <f t="shared" ca="1" si="3"/>
        <v/>
      </c>
    </row>
    <row r="189" spans="19:19">
      <c r="S189" t="str">
        <f t="shared" ref="S189:S209" ca="1" si="4"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 spans="19:19">
      <c r="S190" t="str">
        <f t="shared" ca="1" si="4"/>
        <v/>
      </c>
    </row>
    <row r="191" spans="19:19">
      <c r="S191" t="str">
        <f t="shared" ca="1" si="4"/>
        <v/>
      </c>
    </row>
    <row r="192" spans="19:19">
      <c r="S192" t="str">
        <f t="shared" ca="1" si="4"/>
        <v/>
      </c>
    </row>
    <row r="193" spans="19:19">
      <c r="S193" t="str">
        <f t="shared" ca="1" si="4"/>
        <v/>
      </c>
    </row>
    <row r="194" spans="19:19">
      <c r="S194" t="str">
        <f t="shared" ca="1" si="4"/>
        <v/>
      </c>
    </row>
    <row r="195" spans="19:19">
      <c r="S195" t="str">
        <f t="shared" ca="1" si="4"/>
        <v/>
      </c>
    </row>
    <row r="196" spans="19:19">
      <c r="S196" t="str">
        <f t="shared" ca="1" si="4"/>
        <v/>
      </c>
    </row>
    <row r="197" spans="19:19">
      <c r="S197" t="str">
        <f t="shared" ca="1" si="4"/>
        <v/>
      </c>
    </row>
    <row r="198" spans="19:19">
      <c r="S198" t="str">
        <f t="shared" ca="1" si="4"/>
        <v/>
      </c>
    </row>
    <row r="199" spans="19:19">
      <c r="S199" t="str">
        <f t="shared" ca="1" si="4"/>
        <v/>
      </c>
    </row>
    <row r="200" spans="19:19">
      <c r="S200" t="str">
        <f t="shared" ca="1" si="4"/>
        <v/>
      </c>
    </row>
    <row r="201" spans="19:19">
      <c r="S201" t="str">
        <f t="shared" ca="1" si="4"/>
        <v/>
      </c>
    </row>
    <row r="202" spans="19:19">
      <c r="S202" t="str">
        <f t="shared" ca="1" si="4"/>
        <v/>
      </c>
    </row>
    <row r="203" spans="19:19">
      <c r="S203" t="str">
        <f t="shared" ca="1" si="4"/>
        <v/>
      </c>
    </row>
    <row r="204" spans="19:19">
      <c r="S204" t="str">
        <f t="shared" ca="1" si="4"/>
        <v/>
      </c>
    </row>
    <row r="205" spans="19:19">
      <c r="S205" t="str">
        <f t="shared" ca="1" si="4"/>
        <v/>
      </c>
    </row>
    <row r="206" spans="19:19">
      <c r="S206" t="str">
        <f t="shared" ca="1" si="4"/>
        <v/>
      </c>
    </row>
    <row r="207" spans="19:19">
      <c r="S207" t="str">
        <f t="shared" ca="1" si="4"/>
        <v/>
      </c>
    </row>
    <row r="208" spans="19:19">
      <c r="S208" t="str">
        <f t="shared" ca="1" si="4"/>
        <v/>
      </c>
    </row>
    <row r="209" spans="19:19">
      <c r="S209" t="str">
        <f t="shared" ca="1" si="4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600-000000000000}">
      <formula1>"financial_position,income,comprehensive_income,income_and_comprehensive_income,changes_in_equity,changes_in_net_assets,cash_flows,other"</formula1>
    </dataValidation>
    <dataValidation type="list" sqref="B5" xr:uid="{00000000-0002-0000-0600-000001000000}">
      <formula1>"1,1000,1000000"</formula1>
    </dataValidation>
    <dataValidation type="list" allowBlank="1" sqref="A10:A209" xr:uid="{00000000-0002-0000-06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filing</vt:lpstr>
      <vt:lpstr>1_financial_position</vt:lpstr>
      <vt:lpstr>2_income</vt:lpstr>
      <vt:lpstr>3_comprehensive_income</vt:lpstr>
      <vt:lpstr>4_changes_in_equity</vt:lpstr>
      <vt:lpstr>5_cash_flows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2026-10-02T21:40:32Z</dcterms:modified>
</cp:coreProperties>
</file>